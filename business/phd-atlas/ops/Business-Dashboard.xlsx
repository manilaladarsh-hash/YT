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eekly actuals" sheetId="2" state="visible" r:id="rId2"/>
    <sheet xmlns:r="http://schemas.openxmlformats.org/officeDocument/2006/relationships" name="Gates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Ho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5F8B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9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3F2E7"/>
        </patternFill>
      </fill>
    </dxf>
    <dxf>
      <fill>
        <patternFill patternType="solid">
          <f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Paid orders and sample downloads per week (actuals)</a:t>
            </a:r>
          </a:p>
        </rich>
      </tx>
    </title>
    <plotArea>
      <lineChart>
        <grouping val="standard"/>
        <ser>
          <idx val="0"/>
          <order val="0"/>
          <tx>
            <strRef>
              <f>'Weekly actuals'!C1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actuals'!$A$2:$A$13</f>
            </numRef>
          </cat>
          <val>
            <numRef>
              <f>'Weekly actuals'!$C$2:$C$13</f>
            </numRef>
          </val>
        </ser>
        <ser>
          <idx val="1"/>
          <order val="1"/>
          <tx>
            <strRef>
              <f>'Weekly actuals'!D1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actuals'!$A$2:$A$13</f>
            </numRef>
          </cat>
          <val>
            <numRef>
              <f>'Weekly actuals'!$D$2:$D$13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STEM PhD Atlas: owner dashboard</t>
        </is>
      </c>
    </row>
    <row r="2">
      <c r="A2" s="2" t="inlineStr">
        <is>
          <t>Weekly (20 min): copy last week's numbers from Gumroad into 'Weekly actuals' (yellow cells only).</t>
        </is>
      </c>
    </row>
    <row r="3">
      <c r="A3" s="2" t="inlineStr">
        <is>
          <t>'Gates' turns green or red automatically against the Dec 15 decision rules.</t>
        </is>
      </c>
    </row>
    <row r="4">
      <c r="A4" s="2" t="inlineStr">
        <is>
          <t>'Forecast' is the scenario model from research/financials.py ($5 list; about $2 in India via Gumroad PPP). It is NOT actual data.</t>
        </is>
      </c>
    </row>
    <row r="5">
      <c r="A5" s="2" t="inlineStr">
        <is>
          <t>Free copies sent with STUDENTAID or CLUBCOPY count as neither paid orders nor revenue.</t>
        </is>
      </c>
    </row>
    <row r="6">
      <c r="A6" s="2" t="inlineStr">
        <is>
          <t>'Hours' is your study-permit self-employment log. Count every business hour.</t>
        </is>
      </c>
    </row>
    <row r="7">
      <c r="A7" s="2" t="inlineStr">
        <is>
          <t>Never type estimates into 'Weekly actuals'. Leave a cell blank if you don't know.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1" customWidth="1" min="4" max="4"/>
    <col width="16" customWidth="1" min="5" max="5"/>
    <col width="9" customWidth="1" min="6" max="6"/>
    <col width="14" customWidth="1" min="7" max="7"/>
    <col width="15" customWidth="1" min="8" max="8"/>
    <col width="18" customWidth="1" min="9" max="9"/>
    <col width="12" customWidth="1" min="10" max="10"/>
    <col width="14" customWidth="1" min="11" max="11"/>
    <col width="16" customWidth="1" min="12" max="12"/>
    <col width="14" customWidth="1" min="13" max="13"/>
    <col width="12" customWidth="1" min="14" max="14"/>
    <col width="12" customWidth="1" min="15" max="15"/>
    <col width="16" customWidth="1" min="16" max="16"/>
    <col width="40" customWidth="1" min="17" max="17"/>
  </cols>
  <sheetData>
    <row r="1">
      <c r="A1" s="3" t="inlineStr">
        <is>
          <t>Week starting</t>
        </is>
      </c>
      <c r="B1" s="3" t="inlineStr">
        <is>
          <t>Product views</t>
        </is>
      </c>
      <c r="C1" s="3" t="inlineStr">
        <is>
          <t>Sample downloads</t>
        </is>
      </c>
      <c r="D1" s="3" t="inlineStr">
        <is>
          <t>Paid orders</t>
        </is>
      </c>
      <c r="E1" s="3" t="inlineStr">
        <is>
          <t>Orders from unrelated buyers</t>
        </is>
      </c>
      <c r="F1" s="3" t="inlineStr">
        <is>
          <t>Refunds</t>
        </is>
      </c>
      <c r="G1" s="3" t="inlineStr">
        <is>
          <t>Gross revenue USD</t>
        </is>
      </c>
      <c r="H1" s="3" t="inlineStr">
        <is>
          <t>Gumroad payout USD</t>
        </is>
      </c>
      <c r="I1" s="3" t="inlineStr">
        <is>
          <t>Network orders (UTM whatsapp + group + alumni + club)</t>
        </is>
      </c>
      <c r="J1" s="3" t="inlineStr">
        <is>
          <t>Reddit orders (UTM reddit_profile)</t>
        </is>
      </c>
      <c r="K1" s="3" t="inlineStr">
        <is>
          <t>Usefulness replies</t>
        </is>
      </c>
      <c r="L1" s="3" t="inlineStr">
        <is>
          <t>Concrete benefits reported</t>
        </is>
      </c>
      <c r="M1" s="3" t="inlineStr">
        <is>
          <t>Data errors reported</t>
        </is>
      </c>
      <c r="N1" s="3" t="inlineStr">
        <is>
          <t>Orders from India</t>
        </is>
      </c>
      <c r="O1" s="3" t="inlineStr">
        <is>
          <t>Batch licences sold</t>
        </is>
      </c>
      <c r="P1" s="3" t="inlineStr">
        <is>
          <t>Free copies sent (STUDENTAID + CLUBCOPY)</t>
        </is>
      </c>
      <c r="Q1" s="3" t="inlineStr">
        <is>
          <t>Notes</t>
        </is>
      </c>
    </row>
    <row r="2">
      <c r="A2" s="4" t="n">
        <v>46321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</row>
    <row r="3">
      <c r="A3" s="4" t="n">
        <v>46328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>
      <c r="A4" s="4" t="n">
        <v>46335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>
        <v>46342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>
        <v>46349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>
        <v>46356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>
        <v>46363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>
        <v>46370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>
        <v>46377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>
        <v>46384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>
        <v>46391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>
        <v>46398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6" t="inlineStr">
        <is>
          <t>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  <c r="J14" s="6">
        <f>SUM(J2:J13)</f>
        <v/>
      </c>
      <c r="K14" s="6">
        <f>SUM(K2:K13)</f>
        <v/>
      </c>
      <c r="L14" s="6">
        <f>SUM(L2:L13)</f>
        <v/>
      </c>
      <c r="M14" s="6">
        <f>SUM(M2:M13)</f>
        <v/>
      </c>
      <c r="N14" s="6">
        <f>SUM(N2:N13)</f>
        <v/>
      </c>
      <c r="O14" s="6">
        <f>SUM(O2:O13)</f>
        <v/>
      </c>
      <c r="P14" s="6">
        <f>SUM(P2:P13)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2" customWidth="1" min="4" max="4"/>
  </cols>
  <sheetData>
    <row r="1">
      <c r="A1" s="3" t="inlineStr">
        <is>
          <t>Dec 15 gate</t>
        </is>
      </c>
      <c r="B1" s="3" t="inlineStr">
        <is>
          <t>Target</t>
        </is>
      </c>
      <c r="C1" s="3" t="inlineStr">
        <is>
          <t>Actual</t>
        </is>
      </c>
      <c r="D1" s="3" t="inlineStr">
        <is>
          <t>Status</t>
        </is>
      </c>
    </row>
    <row r="2">
      <c r="A2" t="inlineStr">
        <is>
          <t>Paid orders</t>
        </is>
      </c>
      <c r="B2" t="inlineStr">
        <is>
          <t>&gt;=10</t>
        </is>
      </c>
      <c r="C2">
        <f>'Weekly actuals'!D14</f>
        <v/>
      </c>
      <c r="D2">
        <f>IF(C2&gt;=10,"PASS","not yet")</f>
        <v/>
      </c>
    </row>
    <row r="3">
      <c r="A3" t="inlineStr">
        <is>
          <t>Retained orders from unrelated buyers</t>
        </is>
      </c>
      <c r="B3" t="inlineStr">
        <is>
          <t>&gt;=2</t>
        </is>
      </c>
      <c r="C3">
        <f>'Weekly actuals'!E14</f>
        <v/>
      </c>
      <c r="D3">
        <f>IF(C3&gt;=2,"PASS","not yet")</f>
        <v/>
      </c>
    </row>
    <row r="4">
      <c r="A4" t="inlineStr">
        <is>
          <t>Refund rate (refunds / paid orders)</t>
        </is>
      </c>
      <c r="B4" t="inlineStr">
        <is>
          <t>&lt;=10%</t>
        </is>
      </c>
      <c r="C4" s="7">
        <f>IF('Weekly actuals'!D14=0,0,'Weekly actuals'!F14/'Weekly actuals'!D14)</f>
        <v/>
      </c>
      <c r="D4">
        <f>IF(AND('Weekly actuals'!D14&gt;0,C4&lt;=0.1),"PASS",IF('Weekly actuals'!D14=0,"no orders","FAIL"))</f>
        <v/>
      </c>
    </row>
    <row r="5">
      <c r="A5" t="inlineStr">
        <is>
          <t>Buyers reporting a concrete benefit</t>
        </is>
      </c>
      <c r="B5" t="inlineStr">
        <is>
          <t>&gt;=2</t>
        </is>
      </c>
      <c r="C5">
        <f>'Weekly actuals'!L14</f>
        <v/>
      </c>
      <c r="D5">
        <f>IF(C5&gt;=2,"PASS","not yet")</f>
        <v/>
      </c>
    </row>
    <row r="6">
      <c r="A6" t="inlineStr">
        <is>
          <t>Critical data errors reported</t>
        </is>
      </c>
      <c r="B6" t="inlineStr">
        <is>
          <t>0</t>
        </is>
      </c>
      <c r="C6">
        <f>'Weekly actuals'!M14</f>
        <v/>
      </c>
      <c r="D6">
        <f>IF(C6=0,"PASS","FIX")</f>
        <v/>
      </c>
    </row>
    <row r="7">
      <c r="A7" t="inlineStr">
        <is>
          <t>Sample downloads (for the 'change' rule)</t>
        </is>
      </c>
      <c r="B7" t="inlineStr">
        <is>
          <t>&gt;=50</t>
        </is>
      </c>
      <c r="C7">
        <f>'Weekly actuals'!C14</f>
        <v/>
      </c>
      <c r="D7">
        <f>IF(C7&gt;=50,"reached","below")</f>
        <v/>
      </c>
    </row>
    <row r="9">
      <c r="A9" s="6" t="inlineStr">
        <is>
          <t>Decision (Dec 15)</t>
        </is>
      </c>
      <c r="B9" t="inlineStr"/>
      <c r="C9" t="inlineStr"/>
      <c r="D9">
        <f>IF(COUNTIF(D2:D6,"PASS")=5,"PROCEED",IF(OR(C7&gt;=50,C2&gt;=5),"CHANGE offer/price/channel, one more cycle",IF(AND(C7&lt;20,C3=0),"STOP (keep listing passive)","CHANGE")))</f>
        <v/>
      </c>
    </row>
  </sheetData>
  <conditionalFormatting sqref="D2:D7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2" customWidth="1" min="11" max="11"/>
  </cols>
  <sheetData>
    <row r="1">
      <c r="A1" s="3" t="inlineStr">
        <is>
          <t>Scenario</t>
        </is>
      </c>
      <c r="B1" s="3" t="inlineStr">
        <is>
          <t>Period</t>
        </is>
      </c>
      <c r="C1" s="3" t="inlineStr">
        <is>
          <t>Orders</t>
        </is>
      </c>
      <c r="D1" s="3" t="inlineStr">
        <is>
          <t>Avg price</t>
        </is>
      </c>
      <c r="E1" s="3" t="inlineStr">
        <is>
          <t>Gross</t>
        </is>
      </c>
      <c r="F1" s="3" t="inlineStr">
        <is>
          <t>Fees</t>
        </is>
      </c>
      <c r="G1" s="3" t="inlineStr">
        <is>
          <t>Refunds</t>
        </is>
      </c>
      <c r="H1" s="3" t="inlineStr">
        <is>
          <t>Payout fee</t>
        </is>
      </c>
      <c r="I1" s="3" t="inlineStr">
        <is>
          <t>Net</t>
        </is>
      </c>
      <c r="J1" s="3" t="inlineStr">
        <is>
          <t>Owner hours</t>
        </is>
      </c>
      <c r="K1" s="3" t="inlineStr">
        <is>
          <t>Net per hour</t>
        </is>
      </c>
    </row>
    <row r="2">
      <c r="A2" t="inlineStr">
        <is>
          <t>Conservative</t>
        </is>
      </c>
      <c r="B2" t="inlineStr">
        <is>
          <t>This season (Nov 2026-Jan 2027)</t>
        </is>
      </c>
      <c r="C2" t="n">
        <v>10</v>
      </c>
      <c r="D2" t="n">
        <v>2.6</v>
      </c>
      <c r="E2" t="n">
        <v>26</v>
      </c>
      <c r="F2" t="n">
        <v>10.75</v>
      </c>
      <c r="G2" t="n">
        <v>2.08</v>
      </c>
      <c r="H2" t="n">
        <v>0.26</v>
      </c>
      <c r="I2" t="n">
        <v>12.91</v>
      </c>
      <c r="J2" t="n">
        <v>12</v>
      </c>
      <c r="K2" t="n">
        <v>1.08</v>
      </c>
    </row>
    <row r="3">
      <c r="A3" t="inlineStr">
        <is>
          <t>Conservative</t>
        </is>
      </c>
      <c r="B3" t="inlineStr">
        <is>
          <t>Next full season (Aug 2027-Jan 2028)</t>
        </is>
      </c>
      <c r="C3" t="n">
        <v>50</v>
      </c>
      <c r="D3" t="n">
        <v>2.6</v>
      </c>
      <c r="E3" t="n">
        <v>130</v>
      </c>
      <c r="F3" t="n">
        <v>53.73</v>
      </c>
      <c r="G3" t="n">
        <v>10.4</v>
      </c>
      <c r="H3" t="n">
        <v>1.32</v>
      </c>
      <c r="I3" t="n">
        <v>64.55</v>
      </c>
      <c r="J3" t="n">
        <v>30</v>
      </c>
      <c r="K3" t="n">
        <v>2.15</v>
      </c>
    </row>
    <row r="4">
      <c r="A4" t="inlineStr">
        <is>
          <t>Base</t>
        </is>
      </c>
      <c r="B4" t="inlineStr">
        <is>
          <t>This season (Nov 2026-Jan 2027)</t>
        </is>
      </c>
      <c r="C4" t="n">
        <v>40</v>
      </c>
      <c r="D4" t="n">
        <v>2.75</v>
      </c>
      <c r="E4" t="n">
        <v>110</v>
      </c>
      <c r="F4" t="n">
        <v>44.06</v>
      </c>
      <c r="G4" t="n">
        <v>5.5</v>
      </c>
      <c r="H4" t="n">
        <v>1.21</v>
      </c>
      <c r="I4" t="n">
        <v>59.23</v>
      </c>
      <c r="J4" t="n">
        <v>14</v>
      </c>
      <c r="K4" t="n">
        <v>4.23</v>
      </c>
    </row>
    <row r="5">
      <c r="A5" t="inlineStr">
        <is>
          <t>Base</t>
        </is>
      </c>
      <c r="B5" t="inlineStr">
        <is>
          <t>Next full season (Aug 2027-Jan 2028)</t>
        </is>
      </c>
      <c r="C5" t="n">
        <v>200</v>
      </c>
      <c r="D5" t="n">
        <v>2.75</v>
      </c>
      <c r="E5" t="n">
        <v>550</v>
      </c>
      <c r="F5" t="n">
        <v>220.29</v>
      </c>
      <c r="G5" t="n">
        <v>27.5</v>
      </c>
      <c r="H5" t="n">
        <v>6.04</v>
      </c>
      <c r="I5" t="n">
        <v>296.17</v>
      </c>
      <c r="J5" t="n">
        <v>34</v>
      </c>
      <c r="K5" t="n">
        <v>8.710000000000001</v>
      </c>
    </row>
    <row r="6">
      <c r="A6" t="inlineStr">
        <is>
          <t>Optimistic</t>
        </is>
      </c>
      <c r="B6" t="inlineStr">
        <is>
          <t>This season (Nov 2026-Jan 2027)</t>
        </is>
      </c>
      <c r="C6" t="n">
        <v>120</v>
      </c>
      <c r="D6" t="n">
        <v>2.9</v>
      </c>
      <c r="E6" t="n">
        <v>348</v>
      </c>
      <c r="F6" t="n">
        <v>133.83</v>
      </c>
      <c r="G6" t="n">
        <v>13.92</v>
      </c>
      <c r="H6" t="n">
        <v>4.01</v>
      </c>
      <c r="I6" t="n">
        <v>196.25</v>
      </c>
      <c r="J6" t="n">
        <v>18</v>
      </c>
      <c r="K6" t="n">
        <v>10.9</v>
      </c>
    </row>
    <row r="7">
      <c r="A7" t="inlineStr">
        <is>
          <t>Optimistic</t>
        </is>
      </c>
      <c r="B7" t="inlineStr">
        <is>
          <t>Next full season (Aug 2027-Jan 2028)</t>
        </is>
      </c>
      <c r="C7" t="n">
        <v>600</v>
      </c>
      <c r="D7" t="n">
        <v>2.9</v>
      </c>
      <c r="E7" t="n">
        <v>1740</v>
      </c>
      <c r="F7" t="n">
        <v>669.15</v>
      </c>
      <c r="G7" t="n">
        <v>69.59999999999999</v>
      </c>
      <c r="H7" t="n">
        <v>20.03</v>
      </c>
      <c r="I7" t="n">
        <v>981.23</v>
      </c>
      <c r="J7" t="n">
        <v>45</v>
      </c>
      <c r="K7" t="n">
        <v>21.81</v>
      </c>
    </row>
    <row r="9">
      <c r="A9" t="inlineStr">
        <is>
          <t>These are assumptions (see research/financials.py), not results.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8" customWidth="1" min="5" max="5"/>
    <col width="40" customWidth="1" min="6" max="6"/>
  </cols>
  <sheetData>
    <row r="1">
      <c r="A1" s="3" t="inlineStr">
        <is>
          <t>Date</t>
        </is>
      </c>
      <c r="B1" s="3" t="inlineStr">
        <is>
          <t>Item</t>
        </is>
      </c>
      <c r="C1" s="3" t="inlineStr">
        <is>
          <t>Amount</t>
        </is>
      </c>
      <c r="D1" s="3" t="inlineStr">
        <is>
          <t>Currency</t>
        </is>
      </c>
      <c r="E1" s="3" t="inlineStr">
        <is>
          <t>Approved by owner?</t>
        </is>
      </c>
      <c r="F1" s="3" t="inlineStr">
        <is>
          <t>Notes</t>
        </is>
      </c>
    </row>
    <row r="2">
      <c r="B2" t="inlineStr">
        <is>
          <t>Gumroad account</t>
        </is>
      </c>
      <c r="C2" t="n">
        <v>0</v>
      </c>
      <c r="D2" t="inlineStr">
        <is>
          <t>USD</t>
        </is>
      </c>
      <c r="E2" t="inlineStr">
        <is>
          <t>n/a</t>
        </is>
      </c>
      <c r="F2" t="inlineStr">
        <is>
          <t>No monthly fee; per-sale fees only</t>
        </is>
      </c>
    </row>
    <row r="3">
      <c r="B3" t="inlineStr">
        <is>
          <t>GitHub Actions source watch</t>
        </is>
      </c>
      <c r="C3" t="n">
        <v>0</v>
      </c>
      <c r="D3" t="inlineStr">
        <is>
          <t>USD</t>
        </is>
      </c>
      <c r="E3" t="inlineStr">
        <is>
          <t>n/a</t>
        </is>
      </c>
      <c r="F3" t="inlineStr">
        <is>
          <t>Within free minutes</t>
        </is>
      </c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1">
      <c r="B21" s="6" t="inlineStr">
        <is>
          <t>Total (cap this cycle: USD 30)</t>
        </is>
      </c>
      <c r="C21" s="6">
        <f>SUM(C2:C20)</f>
        <v/>
      </c>
    </row>
  </sheetData>
  <dataValidations count="1">
    <dataValidation sqref="E2:E2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20" customWidth="1" min="4" max="4"/>
    <col width="40" customWidth="1" min="5" max="5"/>
  </cols>
  <sheetData>
    <row r="1">
      <c r="A1" s="3" t="inlineStr">
        <is>
          <t>Date</t>
        </is>
      </c>
      <c r="B1" s="3" t="inlineStr">
        <is>
          <t>Task</t>
        </is>
      </c>
      <c r="C1" s="3" t="inlineStr">
        <is>
          <t>Minutes</t>
        </is>
      </c>
      <c r="D1" s="3" t="inlineStr">
        <is>
          <t>Week starting (auto)</t>
        </is>
      </c>
      <c r="E1" s="3" t="inlineStr">
        <is>
          <t>Notes</t>
        </is>
      </c>
      <c r="G1" s="6" t="inlineStr">
        <is>
          <t>Week starting</t>
        </is>
      </c>
      <c r="H1" s="6" t="inlineStr">
        <is>
          <t>Business hours</t>
        </is>
      </c>
      <c r="J1" t="inlineStr">
        <is>
          <t>Reminder: self-employment counts toward the 24 h/week off-campus limit during regular terms (IRCC). Add any other off-campus work (e.g., SpecReply) here too.</t>
        </is>
      </c>
    </row>
    <row r="2">
      <c r="A2" s="8" t="n"/>
      <c r="B2" s="5" t="n"/>
      <c r="C2" s="5" t="n"/>
      <c r="D2" s="4">
        <f>IF(A2="","",A2-WEEKDAY(A2,3))</f>
        <v/>
      </c>
      <c r="E2" s="5" t="n"/>
      <c r="G2" s="4" t="n">
        <v>46321</v>
      </c>
      <c r="H2" s="9">
        <f>SUMIF($D$2:$D$201,G2,$C$2:$C$201)/60</f>
        <v/>
      </c>
    </row>
    <row r="3">
      <c r="A3" s="8" t="n"/>
      <c r="B3" s="5" t="n"/>
      <c r="C3" s="5" t="n"/>
      <c r="D3" s="4">
        <f>IF(A3="","",A3-WEEKDAY(A3,3))</f>
        <v/>
      </c>
      <c r="E3" s="5" t="n"/>
      <c r="G3" s="4" t="n">
        <v>46328</v>
      </c>
      <c r="H3" s="9">
        <f>SUMIF($D$2:$D$201,G3,$C$2:$C$201)/60</f>
        <v/>
      </c>
    </row>
    <row r="4">
      <c r="A4" s="8" t="n"/>
      <c r="B4" s="5" t="n"/>
      <c r="C4" s="5" t="n"/>
      <c r="D4" s="4">
        <f>IF(A4="","",A4-WEEKDAY(A4,3))</f>
        <v/>
      </c>
      <c r="E4" s="5" t="n"/>
      <c r="G4" s="4" t="n">
        <v>46335</v>
      </c>
      <c r="H4" s="9">
        <f>SUMIF($D$2:$D$201,G4,$C$2:$C$201)/60</f>
        <v/>
      </c>
    </row>
    <row r="5">
      <c r="A5" s="8" t="n"/>
      <c r="B5" s="5" t="n"/>
      <c r="C5" s="5" t="n"/>
      <c r="D5" s="4">
        <f>IF(A5="","",A5-WEEKDAY(A5,3))</f>
        <v/>
      </c>
      <c r="E5" s="5" t="n"/>
      <c r="G5" s="4" t="n">
        <v>46342</v>
      </c>
      <c r="H5" s="9">
        <f>SUMIF($D$2:$D$201,G5,$C$2:$C$201)/60</f>
        <v/>
      </c>
    </row>
    <row r="6">
      <c r="A6" s="8" t="n"/>
      <c r="B6" s="5" t="n"/>
      <c r="C6" s="5" t="n"/>
      <c r="D6" s="4">
        <f>IF(A6="","",A6-WEEKDAY(A6,3))</f>
        <v/>
      </c>
      <c r="E6" s="5" t="n"/>
      <c r="G6" s="4" t="n">
        <v>46349</v>
      </c>
      <c r="H6" s="9">
        <f>SUMIF($D$2:$D$201,G6,$C$2:$C$201)/60</f>
        <v/>
      </c>
    </row>
    <row r="7">
      <c r="A7" s="8" t="n"/>
      <c r="B7" s="5" t="n"/>
      <c r="C7" s="5" t="n"/>
      <c r="D7" s="4">
        <f>IF(A7="","",A7-WEEKDAY(A7,3))</f>
        <v/>
      </c>
      <c r="E7" s="5" t="n"/>
      <c r="G7" s="4" t="n">
        <v>46356</v>
      </c>
      <c r="H7" s="9">
        <f>SUMIF($D$2:$D$201,G7,$C$2:$C$201)/60</f>
        <v/>
      </c>
    </row>
    <row r="8">
      <c r="A8" s="8" t="n"/>
      <c r="B8" s="5" t="n"/>
      <c r="C8" s="5" t="n"/>
      <c r="D8" s="4">
        <f>IF(A8="","",A8-WEEKDAY(A8,3))</f>
        <v/>
      </c>
      <c r="E8" s="5" t="n"/>
      <c r="G8" s="4" t="n">
        <v>46363</v>
      </c>
      <c r="H8" s="9">
        <f>SUMIF($D$2:$D$201,G8,$C$2:$C$201)/60</f>
        <v/>
      </c>
    </row>
    <row r="9">
      <c r="A9" s="8" t="n"/>
      <c r="B9" s="5" t="n"/>
      <c r="C9" s="5" t="n"/>
      <c r="D9" s="4">
        <f>IF(A9="","",A9-WEEKDAY(A9,3))</f>
        <v/>
      </c>
      <c r="E9" s="5" t="n"/>
      <c r="G9" s="4" t="n">
        <v>46370</v>
      </c>
      <c r="H9" s="9">
        <f>SUMIF($D$2:$D$201,G9,$C$2:$C$201)/60</f>
        <v/>
      </c>
    </row>
    <row r="10">
      <c r="A10" s="8" t="n"/>
      <c r="B10" s="5" t="n"/>
      <c r="C10" s="5" t="n"/>
      <c r="D10" s="4">
        <f>IF(A10="","",A10-WEEKDAY(A10,3))</f>
        <v/>
      </c>
      <c r="E10" s="5" t="n"/>
      <c r="G10" s="4" t="n">
        <v>46377</v>
      </c>
      <c r="H10" s="9">
        <f>SUMIF($D$2:$D$201,G10,$C$2:$C$201)/60</f>
        <v/>
      </c>
    </row>
    <row r="11">
      <c r="A11" s="8" t="n"/>
      <c r="B11" s="5" t="n"/>
      <c r="C11" s="5" t="n"/>
      <c r="D11" s="4">
        <f>IF(A11="","",A11-WEEKDAY(A11,3))</f>
        <v/>
      </c>
      <c r="E11" s="5" t="n"/>
      <c r="G11" s="4" t="n">
        <v>46384</v>
      </c>
      <c r="H11" s="9">
        <f>SUMIF($D$2:$D$201,G11,$C$2:$C$201)/60</f>
        <v/>
      </c>
    </row>
    <row r="12">
      <c r="A12" s="8" t="n"/>
      <c r="B12" s="5" t="n"/>
      <c r="C12" s="5" t="n"/>
      <c r="D12" s="4">
        <f>IF(A12="","",A12-WEEKDAY(A12,3))</f>
        <v/>
      </c>
      <c r="E12" s="5" t="n"/>
      <c r="G12" s="4" t="n">
        <v>46391</v>
      </c>
      <c r="H12" s="9">
        <f>SUMIF($D$2:$D$201,G12,$C$2:$C$201)/60</f>
        <v/>
      </c>
    </row>
    <row r="13">
      <c r="A13" s="8" t="n"/>
      <c r="B13" s="5" t="n"/>
      <c r="C13" s="5" t="n"/>
      <c r="D13" s="4">
        <f>IF(A13="","",A13-WEEKDAY(A13,3))</f>
        <v/>
      </c>
      <c r="E13" s="5" t="n"/>
      <c r="G13" s="4" t="n">
        <v>46398</v>
      </c>
      <c r="H13" s="9">
        <f>SUMIF($D$2:$D$201,G13,$C$2:$C$201)/60</f>
        <v/>
      </c>
    </row>
    <row r="14">
      <c r="A14" s="8" t="n"/>
      <c r="B14" s="5" t="n"/>
      <c r="C14" s="5" t="n"/>
      <c r="D14" s="4">
        <f>IF(A14="","",A14-WEEKDAY(A14,3))</f>
        <v/>
      </c>
      <c r="E14" s="5" t="n"/>
    </row>
    <row r="15">
      <c r="A15" s="8" t="n"/>
      <c r="B15" s="5" t="n"/>
      <c r="C15" s="5" t="n"/>
      <c r="D15" s="4">
        <f>IF(A15="","",A15-WEEKDAY(A15,3))</f>
        <v/>
      </c>
      <c r="E15" s="5" t="n"/>
    </row>
    <row r="16">
      <c r="A16" s="8" t="n"/>
      <c r="B16" s="5" t="n"/>
      <c r="C16" s="5" t="n"/>
      <c r="D16" s="4">
        <f>IF(A16="","",A16-WEEKDAY(A16,3))</f>
        <v/>
      </c>
      <c r="E16" s="5" t="n"/>
    </row>
    <row r="17">
      <c r="A17" s="8" t="n"/>
      <c r="B17" s="5" t="n"/>
      <c r="C17" s="5" t="n"/>
      <c r="D17" s="4">
        <f>IF(A17="","",A17-WEEKDAY(A17,3))</f>
        <v/>
      </c>
      <c r="E17" s="5" t="n"/>
    </row>
    <row r="18">
      <c r="A18" s="8" t="n"/>
      <c r="B18" s="5" t="n"/>
      <c r="C18" s="5" t="n"/>
      <c r="D18" s="4">
        <f>IF(A18="","",A18-WEEKDAY(A18,3))</f>
        <v/>
      </c>
      <c r="E18" s="5" t="n"/>
    </row>
    <row r="19">
      <c r="A19" s="8" t="n"/>
      <c r="B19" s="5" t="n"/>
      <c r="C19" s="5" t="n"/>
      <c r="D19" s="4">
        <f>IF(A19="","",A19-WEEKDAY(A19,3))</f>
        <v/>
      </c>
      <c r="E19" s="5" t="n"/>
    </row>
    <row r="20">
      <c r="A20" s="8" t="n"/>
      <c r="B20" s="5" t="n"/>
      <c r="C20" s="5" t="n"/>
      <c r="D20" s="4">
        <f>IF(A20="","",A20-WEEKDAY(A20,3))</f>
        <v/>
      </c>
      <c r="E20" s="5" t="n"/>
    </row>
    <row r="21">
      <c r="A21" s="8" t="n"/>
      <c r="B21" s="5" t="n"/>
      <c r="C21" s="5" t="n"/>
      <c r="D21" s="4">
        <f>IF(A21="","",A21-WEEKDAY(A21,3))</f>
        <v/>
      </c>
      <c r="E21" s="5" t="n"/>
    </row>
    <row r="22">
      <c r="A22" s="8" t="n"/>
      <c r="B22" s="5" t="n"/>
      <c r="C22" s="5" t="n"/>
      <c r="D22" s="4">
        <f>IF(A22="","",A22-WEEKDAY(A22,3))</f>
        <v/>
      </c>
      <c r="E22" s="5" t="n"/>
    </row>
    <row r="23">
      <c r="A23" s="8" t="n"/>
      <c r="B23" s="5" t="n"/>
      <c r="C23" s="5" t="n"/>
      <c r="D23" s="4">
        <f>IF(A23="","",A23-WEEKDAY(A23,3))</f>
        <v/>
      </c>
      <c r="E23" s="5" t="n"/>
    </row>
    <row r="24">
      <c r="A24" s="8" t="n"/>
      <c r="B24" s="5" t="n"/>
      <c r="C24" s="5" t="n"/>
      <c r="D24" s="4">
        <f>IF(A24="","",A24-WEEKDAY(A24,3))</f>
        <v/>
      </c>
      <c r="E24" s="5" t="n"/>
    </row>
    <row r="25">
      <c r="A25" s="8" t="n"/>
      <c r="B25" s="5" t="n"/>
      <c r="C25" s="5" t="n"/>
      <c r="D25" s="4">
        <f>IF(A25="","",A25-WEEKDAY(A25,3))</f>
        <v/>
      </c>
      <c r="E25" s="5" t="n"/>
    </row>
    <row r="26">
      <c r="A26" s="8" t="n"/>
      <c r="B26" s="5" t="n"/>
      <c r="C26" s="5" t="n"/>
      <c r="D26" s="4">
        <f>IF(A26="","",A26-WEEKDAY(A26,3))</f>
        <v/>
      </c>
      <c r="E26" s="5" t="n"/>
    </row>
    <row r="27">
      <c r="A27" s="8" t="n"/>
      <c r="B27" s="5" t="n"/>
      <c r="C27" s="5" t="n"/>
      <c r="D27" s="4">
        <f>IF(A27="","",A27-WEEKDAY(A27,3))</f>
        <v/>
      </c>
      <c r="E27" s="5" t="n"/>
    </row>
    <row r="28">
      <c r="A28" s="8" t="n"/>
      <c r="B28" s="5" t="n"/>
      <c r="C28" s="5" t="n"/>
      <c r="D28" s="4">
        <f>IF(A28="","",A28-WEEKDAY(A28,3))</f>
        <v/>
      </c>
      <c r="E28" s="5" t="n"/>
    </row>
    <row r="29">
      <c r="A29" s="8" t="n"/>
      <c r="B29" s="5" t="n"/>
      <c r="C29" s="5" t="n"/>
      <c r="D29" s="4">
        <f>IF(A29="","",A29-WEEKDAY(A29,3))</f>
        <v/>
      </c>
      <c r="E29" s="5" t="n"/>
    </row>
    <row r="30">
      <c r="A30" s="8" t="n"/>
      <c r="B30" s="5" t="n"/>
      <c r="C30" s="5" t="n"/>
      <c r="D30" s="4">
        <f>IF(A30="","",A30-WEEKDAY(A30,3))</f>
        <v/>
      </c>
      <c r="E30" s="5" t="n"/>
    </row>
    <row r="31">
      <c r="A31" s="8" t="n"/>
      <c r="B31" s="5" t="n"/>
      <c r="C31" s="5" t="n"/>
      <c r="D31" s="4">
        <f>IF(A31="","",A31-WEEKDAY(A31,3))</f>
        <v/>
      </c>
      <c r="E31" s="5" t="n"/>
    </row>
    <row r="32">
      <c r="A32" s="8" t="n"/>
      <c r="B32" s="5" t="n"/>
      <c r="C32" s="5" t="n"/>
      <c r="D32" s="4">
        <f>IF(A32="","",A32-WEEKDAY(A32,3))</f>
        <v/>
      </c>
      <c r="E32" s="5" t="n"/>
    </row>
    <row r="33">
      <c r="A33" s="8" t="n"/>
      <c r="B33" s="5" t="n"/>
      <c r="C33" s="5" t="n"/>
      <c r="D33" s="4">
        <f>IF(A33="","",A33-WEEKDAY(A33,3))</f>
        <v/>
      </c>
      <c r="E33" s="5" t="n"/>
    </row>
    <row r="34">
      <c r="A34" s="8" t="n"/>
      <c r="B34" s="5" t="n"/>
      <c r="C34" s="5" t="n"/>
      <c r="D34" s="4">
        <f>IF(A34="","",A34-WEEKDAY(A34,3))</f>
        <v/>
      </c>
      <c r="E34" s="5" t="n"/>
    </row>
    <row r="35">
      <c r="A35" s="8" t="n"/>
      <c r="B35" s="5" t="n"/>
      <c r="C35" s="5" t="n"/>
      <c r="D35" s="4">
        <f>IF(A35="","",A35-WEEKDAY(A35,3))</f>
        <v/>
      </c>
      <c r="E35" s="5" t="n"/>
    </row>
    <row r="36">
      <c r="A36" s="8" t="n"/>
      <c r="B36" s="5" t="n"/>
      <c r="C36" s="5" t="n"/>
      <c r="D36" s="4">
        <f>IF(A36="","",A36-WEEKDAY(A36,3))</f>
        <v/>
      </c>
      <c r="E36" s="5" t="n"/>
    </row>
    <row r="37">
      <c r="A37" s="8" t="n"/>
      <c r="B37" s="5" t="n"/>
      <c r="C37" s="5" t="n"/>
      <c r="D37" s="4">
        <f>IF(A37="","",A37-WEEKDAY(A37,3))</f>
        <v/>
      </c>
      <c r="E37" s="5" t="n"/>
    </row>
    <row r="38">
      <c r="A38" s="8" t="n"/>
      <c r="B38" s="5" t="n"/>
      <c r="C38" s="5" t="n"/>
      <c r="D38" s="4">
        <f>IF(A38="","",A38-WEEKDAY(A38,3))</f>
        <v/>
      </c>
      <c r="E38" s="5" t="n"/>
    </row>
    <row r="39">
      <c r="A39" s="8" t="n"/>
      <c r="B39" s="5" t="n"/>
      <c r="C39" s="5" t="n"/>
      <c r="D39" s="4">
        <f>IF(A39="","",A39-WEEKDAY(A39,3))</f>
        <v/>
      </c>
      <c r="E39" s="5" t="n"/>
    </row>
    <row r="40">
      <c r="A40" s="8" t="n"/>
      <c r="B40" s="5" t="n"/>
      <c r="C40" s="5" t="n"/>
      <c r="D40" s="4">
        <f>IF(A40="","",A40-WEEKDAY(A40,3))</f>
        <v/>
      </c>
      <c r="E40" s="5" t="n"/>
    </row>
    <row r="41">
      <c r="A41" s="8" t="n"/>
      <c r="B41" s="5" t="n"/>
      <c r="C41" s="5" t="n"/>
      <c r="D41" s="4">
        <f>IF(A41="","",A41-WEEKDAY(A41,3))</f>
        <v/>
      </c>
      <c r="E41" s="5" t="n"/>
    </row>
    <row r="42">
      <c r="A42" s="8" t="n"/>
      <c r="B42" s="5" t="n"/>
      <c r="C42" s="5" t="n"/>
      <c r="D42" s="4">
        <f>IF(A42="","",A42-WEEKDAY(A42,3))</f>
        <v/>
      </c>
      <c r="E42" s="5" t="n"/>
    </row>
    <row r="43">
      <c r="A43" s="8" t="n"/>
      <c r="B43" s="5" t="n"/>
      <c r="C43" s="5" t="n"/>
      <c r="D43" s="4">
        <f>IF(A43="","",A43-WEEKDAY(A43,3))</f>
        <v/>
      </c>
      <c r="E43" s="5" t="n"/>
    </row>
    <row r="44">
      <c r="A44" s="8" t="n"/>
      <c r="B44" s="5" t="n"/>
      <c r="C44" s="5" t="n"/>
      <c r="D44" s="4">
        <f>IF(A44="","",A44-WEEKDAY(A44,3))</f>
        <v/>
      </c>
      <c r="E44" s="5" t="n"/>
    </row>
    <row r="45">
      <c r="A45" s="8" t="n"/>
      <c r="B45" s="5" t="n"/>
      <c r="C45" s="5" t="n"/>
      <c r="D45" s="4">
        <f>IF(A45="","",A45-WEEKDAY(A45,3))</f>
        <v/>
      </c>
      <c r="E45" s="5" t="n"/>
    </row>
    <row r="46">
      <c r="A46" s="8" t="n"/>
      <c r="B46" s="5" t="n"/>
      <c r="C46" s="5" t="n"/>
      <c r="D46" s="4">
        <f>IF(A46="","",A46-WEEKDAY(A46,3))</f>
        <v/>
      </c>
      <c r="E46" s="5" t="n"/>
    </row>
    <row r="47">
      <c r="A47" s="8" t="n"/>
      <c r="B47" s="5" t="n"/>
      <c r="C47" s="5" t="n"/>
      <c r="D47" s="4">
        <f>IF(A47="","",A47-WEEKDAY(A47,3))</f>
        <v/>
      </c>
      <c r="E47" s="5" t="n"/>
    </row>
    <row r="48">
      <c r="A48" s="8" t="n"/>
      <c r="B48" s="5" t="n"/>
      <c r="C48" s="5" t="n"/>
      <c r="D48" s="4">
        <f>IF(A48="","",A48-WEEKDAY(A48,3))</f>
        <v/>
      </c>
      <c r="E48" s="5" t="n"/>
    </row>
    <row r="49">
      <c r="A49" s="8" t="n"/>
      <c r="B49" s="5" t="n"/>
      <c r="C49" s="5" t="n"/>
      <c r="D49" s="4">
        <f>IF(A49="","",A49-WEEKDAY(A49,3))</f>
        <v/>
      </c>
      <c r="E49" s="5" t="n"/>
    </row>
    <row r="50">
      <c r="A50" s="8" t="n"/>
      <c r="B50" s="5" t="n"/>
      <c r="C50" s="5" t="n"/>
      <c r="D50" s="4">
        <f>IF(A50="","",A50-WEEKDAY(A50,3))</f>
        <v/>
      </c>
      <c r="E50" s="5" t="n"/>
    </row>
    <row r="51">
      <c r="A51" s="8" t="n"/>
      <c r="B51" s="5" t="n"/>
      <c r="C51" s="5" t="n"/>
      <c r="D51" s="4">
        <f>IF(A51="","",A51-WEEKDAY(A51,3))</f>
        <v/>
      </c>
      <c r="E51" s="5" t="n"/>
    </row>
    <row r="52">
      <c r="A52" s="8" t="n"/>
      <c r="B52" s="5" t="n"/>
      <c r="C52" s="5" t="n"/>
      <c r="D52" s="4">
        <f>IF(A52="","",A52-WEEKDAY(A52,3))</f>
        <v/>
      </c>
      <c r="E52" s="5" t="n"/>
    </row>
    <row r="53">
      <c r="A53" s="8" t="n"/>
      <c r="B53" s="5" t="n"/>
      <c r="C53" s="5" t="n"/>
      <c r="D53" s="4">
        <f>IF(A53="","",A53-WEEKDAY(A53,3))</f>
        <v/>
      </c>
      <c r="E53" s="5" t="n"/>
    </row>
    <row r="54">
      <c r="A54" s="8" t="n"/>
      <c r="B54" s="5" t="n"/>
      <c r="C54" s="5" t="n"/>
      <c r="D54" s="4">
        <f>IF(A54="","",A54-WEEKDAY(A54,3))</f>
        <v/>
      </c>
      <c r="E54" s="5" t="n"/>
    </row>
    <row r="55">
      <c r="A55" s="8" t="n"/>
      <c r="B55" s="5" t="n"/>
      <c r="C55" s="5" t="n"/>
      <c r="D55" s="4">
        <f>IF(A55="","",A55-WEEKDAY(A55,3))</f>
        <v/>
      </c>
      <c r="E55" s="5" t="n"/>
    </row>
    <row r="56">
      <c r="A56" s="8" t="n"/>
      <c r="B56" s="5" t="n"/>
      <c r="C56" s="5" t="n"/>
      <c r="D56" s="4">
        <f>IF(A56="","",A56-WEEKDAY(A56,3))</f>
        <v/>
      </c>
      <c r="E56" s="5" t="n"/>
    </row>
    <row r="57">
      <c r="A57" s="8" t="n"/>
      <c r="B57" s="5" t="n"/>
      <c r="C57" s="5" t="n"/>
      <c r="D57" s="4">
        <f>IF(A57="","",A57-WEEKDAY(A57,3))</f>
        <v/>
      </c>
      <c r="E57" s="5" t="n"/>
    </row>
    <row r="58">
      <c r="A58" s="8" t="n"/>
      <c r="B58" s="5" t="n"/>
      <c r="C58" s="5" t="n"/>
      <c r="D58" s="4">
        <f>IF(A58="","",A58-WEEKDAY(A58,3))</f>
        <v/>
      </c>
      <c r="E58" s="5" t="n"/>
    </row>
    <row r="59">
      <c r="A59" s="8" t="n"/>
      <c r="B59" s="5" t="n"/>
      <c r="C59" s="5" t="n"/>
      <c r="D59" s="4">
        <f>IF(A59="","",A59-WEEKDAY(A59,3))</f>
        <v/>
      </c>
      <c r="E59" s="5" t="n"/>
    </row>
    <row r="60">
      <c r="A60" s="8" t="n"/>
      <c r="B60" s="5" t="n"/>
      <c r="C60" s="5" t="n"/>
      <c r="D60" s="4">
        <f>IF(A60="","",A60-WEEKDAY(A60,3))</f>
        <v/>
      </c>
      <c r="E60" s="5" t="n"/>
    </row>
    <row r="61">
      <c r="A61" s="8" t="n"/>
      <c r="B61" s="5" t="n"/>
      <c r="C61" s="5" t="n"/>
      <c r="D61" s="4">
        <f>IF(A61="","",A61-WEEKDAY(A61,3))</f>
        <v/>
      </c>
      <c r="E61" s="5" t="n"/>
    </row>
    <row r="62">
      <c r="A62" s="8" t="n"/>
      <c r="B62" s="5" t="n"/>
      <c r="C62" s="5" t="n"/>
      <c r="D62" s="4">
        <f>IF(A62="","",A62-WEEKDAY(A62,3))</f>
        <v/>
      </c>
      <c r="E62" s="5" t="n"/>
    </row>
    <row r="63">
      <c r="A63" s="8" t="n"/>
      <c r="B63" s="5" t="n"/>
      <c r="C63" s="5" t="n"/>
      <c r="D63" s="4">
        <f>IF(A63="","",A63-WEEKDAY(A63,3))</f>
        <v/>
      </c>
      <c r="E63" s="5" t="n"/>
    </row>
    <row r="64">
      <c r="A64" s="8" t="n"/>
      <c r="B64" s="5" t="n"/>
      <c r="C64" s="5" t="n"/>
      <c r="D64" s="4">
        <f>IF(A64="","",A64-WEEKDAY(A64,3))</f>
        <v/>
      </c>
      <c r="E64" s="5" t="n"/>
    </row>
    <row r="65">
      <c r="A65" s="8" t="n"/>
      <c r="B65" s="5" t="n"/>
      <c r="C65" s="5" t="n"/>
      <c r="D65" s="4">
        <f>IF(A65="","",A65-WEEKDAY(A65,3))</f>
        <v/>
      </c>
      <c r="E65" s="5" t="n"/>
    </row>
    <row r="66">
      <c r="A66" s="8" t="n"/>
      <c r="B66" s="5" t="n"/>
      <c r="C66" s="5" t="n"/>
      <c r="D66" s="4">
        <f>IF(A66="","",A66-WEEKDAY(A66,3))</f>
        <v/>
      </c>
      <c r="E66" s="5" t="n"/>
    </row>
    <row r="67">
      <c r="A67" s="8" t="n"/>
      <c r="B67" s="5" t="n"/>
      <c r="C67" s="5" t="n"/>
      <c r="D67" s="4">
        <f>IF(A67="","",A67-WEEKDAY(A67,3))</f>
        <v/>
      </c>
      <c r="E67" s="5" t="n"/>
    </row>
    <row r="68">
      <c r="A68" s="8" t="n"/>
      <c r="B68" s="5" t="n"/>
      <c r="C68" s="5" t="n"/>
      <c r="D68" s="4">
        <f>IF(A68="","",A68-WEEKDAY(A68,3))</f>
        <v/>
      </c>
      <c r="E68" s="5" t="n"/>
    </row>
    <row r="69">
      <c r="A69" s="8" t="n"/>
      <c r="B69" s="5" t="n"/>
      <c r="C69" s="5" t="n"/>
      <c r="D69" s="4">
        <f>IF(A69="","",A69-WEEKDAY(A69,3))</f>
        <v/>
      </c>
      <c r="E69" s="5" t="n"/>
    </row>
    <row r="70">
      <c r="A70" s="8" t="n"/>
      <c r="B70" s="5" t="n"/>
      <c r="C70" s="5" t="n"/>
      <c r="D70" s="4">
        <f>IF(A70="","",A70-WEEKDAY(A70,3))</f>
        <v/>
      </c>
      <c r="E70" s="5" t="n"/>
    </row>
    <row r="71">
      <c r="A71" s="8" t="n"/>
      <c r="B71" s="5" t="n"/>
      <c r="C71" s="5" t="n"/>
      <c r="D71" s="4">
        <f>IF(A71="","",A71-WEEKDAY(A71,3))</f>
        <v/>
      </c>
      <c r="E71" s="5" t="n"/>
    </row>
    <row r="72">
      <c r="A72" s="8" t="n"/>
      <c r="B72" s="5" t="n"/>
      <c r="C72" s="5" t="n"/>
      <c r="D72" s="4">
        <f>IF(A72="","",A72-WEEKDAY(A72,3))</f>
        <v/>
      </c>
      <c r="E72" s="5" t="n"/>
    </row>
    <row r="73">
      <c r="A73" s="8" t="n"/>
      <c r="B73" s="5" t="n"/>
      <c r="C73" s="5" t="n"/>
      <c r="D73" s="4">
        <f>IF(A73="","",A73-WEEKDAY(A73,3))</f>
        <v/>
      </c>
      <c r="E73" s="5" t="n"/>
    </row>
    <row r="74">
      <c r="A74" s="8" t="n"/>
      <c r="B74" s="5" t="n"/>
      <c r="C74" s="5" t="n"/>
      <c r="D74" s="4">
        <f>IF(A74="","",A74-WEEKDAY(A74,3))</f>
        <v/>
      </c>
      <c r="E74" s="5" t="n"/>
    </row>
    <row r="75">
      <c r="A75" s="8" t="n"/>
      <c r="B75" s="5" t="n"/>
      <c r="C75" s="5" t="n"/>
      <c r="D75" s="4">
        <f>IF(A75="","",A75-WEEKDAY(A75,3))</f>
        <v/>
      </c>
      <c r="E75" s="5" t="n"/>
    </row>
    <row r="76">
      <c r="A76" s="8" t="n"/>
      <c r="B76" s="5" t="n"/>
      <c r="C76" s="5" t="n"/>
      <c r="D76" s="4">
        <f>IF(A76="","",A76-WEEKDAY(A76,3))</f>
        <v/>
      </c>
      <c r="E76" s="5" t="n"/>
    </row>
    <row r="77">
      <c r="A77" s="8" t="n"/>
      <c r="B77" s="5" t="n"/>
      <c r="C77" s="5" t="n"/>
      <c r="D77" s="4">
        <f>IF(A77="","",A77-WEEKDAY(A77,3))</f>
        <v/>
      </c>
      <c r="E77" s="5" t="n"/>
    </row>
    <row r="78">
      <c r="A78" s="8" t="n"/>
      <c r="B78" s="5" t="n"/>
      <c r="C78" s="5" t="n"/>
      <c r="D78" s="4">
        <f>IF(A78="","",A78-WEEKDAY(A78,3))</f>
        <v/>
      </c>
      <c r="E78" s="5" t="n"/>
    </row>
    <row r="79">
      <c r="A79" s="8" t="n"/>
      <c r="B79" s="5" t="n"/>
      <c r="C79" s="5" t="n"/>
      <c r="D79" s="4">
        <f>IF(A79="","",A79-WEEKDAY(A79,3))</f>
        <v/>
      </c>
      <c r="E79" s="5" t="n"/>
    </row>
    <row r="80">
      <c r="A80" s="8" t="n"/>
      <c r="B80" s="5" t="n"/>
      <c r="C80" s="5" t="n"/>
      <c r="D80" s="4">
        <f>IF(A80="","",A80-WEEKDAY(A80,3))</f>
        <v/>
      </c>
      <c r="E80" s="5" t="n"/>
    </row>
    <row r="81">
      <c r="A81" s="8" t="n"/>
      <c r="B81" s="5" t="n"/>
      <c r="C81" s="5" t="n"/>
      <c r="D81" s="4">
        <f>IF(A81="","",A81-WEEKDAY(A81,3))</f>
        <v/>
      </c>
      <c r="E81" s="5" t="n"/>
    </row>
    <row r="82">
      <c r="A82" s="8" t="n"/>
      <c r="B82" s="5" t="n"/>
      <c r="C82" s="5" t="n"/>
      <c r="D82" s="4">
        <f>IF(A82="","",A82-WEEKDAY(A82,3))</f>
        <v/>
      </c>
      <c r="E82" s="5" t="n"/>
    </row>
    <row r="83">
      <c r="A83" s="8" t="n"/>
      <c r="B83" s="5" t="n"/>
      <c r="C83" s="5" t="n"/>
      <c r="D83" s="4">
        <f>IF(A83="","",A83-WEEKDAY(A83,3))</f>
        <v/>
      </c>
      <c r="E83" s="5" t="n"/>
    </row>
    <row r="84">
      <c r="A84" s="8" t="n"/>
      <c r="B84" s="5" t="n"/>
      <c r="C84" s="5" t="n"/>
      <c r="D84" s="4">
        <f>IF(A84="","",A84-WEEKDAY(A84,3))</f>
        <v/>
      </c>
      <c r="E84" s="5" t="n"/>
    </row>
    <row r="85">
      <c r="A85" s="8" t="n"/>
      <c r="B85" s="5" t="n"/>
      <c r="C85" s="5" t="n"/>
      <c r="D85" s="4">
        <f>IF(A85="","",A85-WEEKDAY(A85,3))</f>
        <v/>
      </c>
      <c r="E85" s="5" t="n"/>
    </row>
    <row r="86">
      <c r="A86" s="8" t="n"/>
      <c r="B86" s="5" t="n"/>
      <c r="C86" s="5" t="n"/>
      <c r="D86" s="4">
        <f>IF(A86="","",A86-WEEKDAY(A86,3))</f>
        <v/>
      </c>
      <c r="E86" s="5" t="n"/>
    </row>
    <row r="87">
      <c r="A87" s="8" t="n"/>
      <c r="B87" s="5" t="n"/>
      <c r="C87" s="5" t="n"/>
      <c r="D87" s="4">
        <f>IF(A87="","",A87-WEEKDAY(A87,3))</f>
        <v/>
      </c>
      <c r="E87" s="5" t="n"/>
    </row>
    <row r="88">
      <c r="A88" s="8" t="n"/>
      <c r="B88" s="5" t="n"/>
      <c r="C88" s="5" t="n"/>
      <c r="D88" s="4">
        <f>IF(A88="","",A88-WEEKDAY(A88,3))</f>
        <v/>
      </c>
      <c r="E88" s="5" t="n"/>
    </row>
    <row r="89">
      <c r="A89" s="8" t="n"/>
      <c r="B89" s="5" t="n"/>
      <c r="C89" s="5" t="n"/>
      <c r="D89" s="4">
        <f>IF(A89="","",A89-WEEKDAY(A89,3))</f>
        <v/>
      </c>
      <c r="E89" s="5" t="n"/>
    </row>
    <row r="90">
      <c r="A90" s="8" t="n"/>
      <c r="B90" s="5" t="n"/>
      <c r="C90" s="5" t="n"/>
      <c r="D90" s="4">
        <f>IF(A90="","",A90-WEEKDAY(A90,3))</f>
        <v/>
      </c>
      <c r="E90" s="5" t="n"/>
    </row>
    <row r="91">
      <c r="A91" s="8" t="n"/>
      <c r="B91" s="5" t="n"/>
      <c r="C91" s="5" t="n"/>
      <c r="D91" s="4">
        <f>IF(A91="","",A91-WEEKDAY(A91,3))</f>
        <v/>
      </c>
      <c r="E91" s="5" t="n"/>
    </row>
    <row r="92">
      <c r="A92" s="8" t="n"/>
      <c r="B92" s="5" t="n"/>
      <c r="C92" s="5" t="n"/>
      <c r="D92" s="4">
        <f>IF(A92="","",A92-WEEKDAY(A92,3))</f>
        <v/>
      </c>
      <c r="E92" s="5" t="n"/>
    </row>
    <row r="93">
      <c r="A93" s="8" t="n"/>
      <c r="B93" s="5" t="n"/>
      <c r="C93" s="5" t="n"/>
      <c r="D93" s="4">
        <f>IF(A93="","",A93-WEEKDAY(A93,3))</f>
        <v/>
      </c>
      <c r="E93" s="5" t="n"/>
    </row>
    <row r="94">
      <c r="A94" s="8" t="n"/>
      <c r="B94" s="5" t="n"/>
      <c r="C94" s="5" t="n"/>
      <c r="D94" s="4">
        <f>IF(A94="","",A94-WEEKDAY(A94,3))</f>
        <v/>
      </c>
      <c r="E94" s="5" t="n"/>
    </row>
    <row r="95">
      <c r="A95" s="8" t="n"/>
      <c r="B95" s="5" t="n"/>
      <c r="C95" s="5" t="n"/>
      <c r="D95" s="4">
        <f>IF(A95="","",A95-WEEKDAY(A95,3))</f>
        <v/>
      </c>
      <c r="E95" s="5" t="n"/>
    </row>
    <row r="96">
      <c r="A96" s="8" t="n"/>
      <c r="B96" s="5" t="n"/>
      <c r="C96" s="5" t="n"/>
      <c r="D96" s="4">
        <f>IF(A96="","",A96-WEEKDAY(A96,3))</f>
        <v/>
      </c>
      <c r="E96" s="5" t="n"/>
    </row>
    <row r="97">
      <c r="A97" s="8" t="n"/>
      <c r="B97" s="5" t="n"/>
      <c r="C97" s="5" t="n"/>
      <c r="D97" s="4">
        <f>IF(A97="","",A97-WEEKDAY(A97,3))</f>
        <v/>
      </c>
      <c r="E97" s="5" t="n"/>
    </row>
    <row r="98">
      <c r="A98" s="8" t="n"/>
      <c r="B98" s="5" t="n"/>
      <c r="C98" s="5" t="n"/>
      <c r="D98" s="4">
        <f>IF(A98="","",A98-WEEKDAY(A98,3))</f>
        <v/>
      </c>
      <c r="E98" s="5" t="n"/>
    </row>
    <row r="99">
      <c r="A99" s="8" t="n"/>
      <c r="B99" s="5" t="n"/>
      <c r="C99" s="5" t="n"/>
      <c r="D99" s="4">
        <f>IF(A99="","",A99-WEEKDAY(A99,3))</f>
        <v/>
      </c>
      <c r="E99" s="5" t="n"/>
    </row>
    <row r="100">
      <c r="A100" s="8" t="n"/>
      <c r="B100" s="5" t="n"/>
      <c r="C100" s="5" t="n"/>
      <c r="D100" s="4">
        <f>IF(A100="","",A100-WEEKDAY(A100,3))</f>
        <v/>
      </c>
      <c r="E100" s="5" t="n"/>
    </row>
    <row r="101">
      <c r="A101" s="8" t="n"/>
      <c r="B101" s="5" t="n"/>
      <c r="C101" s="5" t="n"/>
      <c r="D101" s="4">
        <f>IF(A101="","",A101-WEEKDAY(A101,3))</f>
        <v/>
      </c>
      <c r="E101" s="5" t="n"/>
    </row>
    <row r="102">
      <c r="A102" s="8" t="n"/>
      <c r="B102" s="5" t="n"/>
      <c r="C102" s="5" t="n"/>
      <c r="D102" s="4">
        <f>IF(A102="","",A102-WEEKDAY(A102,3))</f>
        <v/>
      </c>
      <c r="E102" s="5" t="n"/>
    </row>
    <row r="103">
      <c r="A103" s="8" t="n"/>
      <c r="B103" s="5" t="n"/>
      <c r="C103" s="5" t="n"/>
      <c r="D103" s="4">
        <f>IF(A103="","",A103-WEEKDAY(A103,3))</f>
        <v/>
      </c>
      <c r="E103" s="5" t="n"/>
    </row>
    <row r="104">
      <c r="A104" s="8" t="n"/>
      <c r="B104" s="5" t="n"/>
      <c r="C104" s="5" t="n"/>
      <c r="D104" s="4">
        <f>IF(A104="","",A104-WEEKDAY(A104,3))</f>
        <v/>
      </c>
      <c r="E104" s="5" t="n"/>
    </row>
    <row r="105">
      <c r="A105" s="8" t="n"/>
      <c r="B105" s="5" t="n"/>
      <c r="C105" s="5" t="n"/>
      <c r="D105" s="4">
        <f>IF(A105="","",A105-WEEKDAY(A105,3))</f>
        <v/>
      </c>
      <c r="E105" s="5" t="n"/>
    </row>
    <row r="106">
      <c r="A106" s="8" t="n"/>
      <c r="B106" s="5" t="n"/>
      <c r="C106" s="5" t="n"/>
      <c r="D106" s="4">
        <f>IF(A106="","",A106-WEEKDAY(A106,3))</f>
        <v/>
      </c>
      <c r="E106" s="5" t="n"/>
    </row>
    <row r="107">
      <c r="A107" s="8" t="n"/>
      <c r="B107" s="5" t="n"/>
      <c r="C107" s="5" t="n"/>
      <c r="D107" s="4">
        <f>IF(A107="","",A107-WEEKDAY(A107,3))</f>
        <v/>
      </c>
      <c r="E107" s="5" t="n"/>
    </row>
    <row r="108">
      <c r="A108" s="8" t="n"/>
      <c r="B108" s="5" t="n"/>
      <c r="C108" s="5" t="n"/>
      <c r="D108" s="4">
        <f>IF(A108="","",A108-WEEKDAY(A108,3))</f>
        <v/>
      </c>
      <c r="E108" s="5" t="n"/>
    </row>
    <row r="109">
      <c r="A109" s="8" t="n"/>
      <c r="B109" s="5" t="n"/>
      <c r="C109" s="5" t="n"/>
      <c r="D109" s="4">
        <f>IF(A109="","",A109-WEEKDAY(A109,3))</f>
        <v/>
      </c>
      <c r="E109" s="5" t="n"/>
    </row>
    <row r="110">
      <c r="A110" s="8" t="n"/>
      <c r="B110" s="5" t="n"/>
      <c r="C110" s="5" t="n"/>
      <c r="D110" s="4">
        <f>IF(A110="","",A110-WEEKDAY(A110,3))</f>
        <v/>
      </c>
      <c r="E110" s="5" t="n"/>
    </row>
    <row r="111">
      <c r="A111" s="8" t="n"/>
      <c r="B111" s="5" t="n"/>
      <c r="C111" s="5" t="n"/>
      <c r="D111" s="4">
        <f>IF(A111="","",A111-WEEKDAY(A111,3))</f>
        <v/>
      </c>
      <c r="E111" s="5" t="n"/>
    </row>
    <row r="112">
      <c r="A112" s="8" t="n"/>
      <c r="B112" s="5" t="n"/>
      <c r="C112" s="5" t="n"/>
      <c r="D112" s="4">
        <f>IF(A112="","",A112-WEEKDAY(A112,3))</f>
        <v/>
      </c>
      <c r="E112" s="5" t="n"/>
    </row>
    <row r="113">
      <c r="A113" s="8" t="n"/>
      <c r="B113" s="5" t="n"/>
      <c r="C113" s="5" t="n"/>
      <c r="D113" s="4">
        <f>IF(A113="","",A113-WEEKDAY(A113,3))</f>
        <v/>
      </c>
      <c r="E113" s="5" t="n"/>
    </row>
    <row r="114">
      <c r="A114" s="8" t="n"/>
      <c r="B114" s="5" t="n"/>
      <c r="C114" s="5" t="n"/>
      <c r="D114" s="4">
        <f>IF(A114="","",A114-WEEKDAY(A114,3))</f>
        <v/>
      </c>
      <c r="E114" s="5" t="n"/>
    </row>
    <row r="115">
      <c r="A115" s="8" t="n"/>
      <c r="B115" s="5" t="n"/>
      <c r="C115" s="5" t="n"/>
      <c r="D115" s="4">
        <f>IF(A115="","",A115-WEEKDAY(A115,3))</f>
        <v/>
      </c>
      <c r="E115" s="5" t="n"/>
    </row>
    <row r="116">
      <c r="A116" s="8" t="n"/>
      <c r="B116" s="5" t="n"/>
      <c r="C116" s="5" t="n"/>
      <c r="D116" s="4">
        <f>IF(A116="","",A116-WEEKDAY(A116,3))</f>
        <v/>
      </c>
      <c r="E116" s="5" t="n"/>
    </row>
    <row r="117">
      <c r="A117" s="8" t="n"/>
      <c r="B117" s="5" t="n"/>
      <c r="C117" s="5" t="n"/>
      <c r="D117" s="4">
        <f>IF(A117="","",A117-WEEKDAY(A117,3))</f>
        <v/>
      </c>
      <c r="E117" s="5" t="n"/>
    </row>
    <row r="118">
      <c r="A118" s="8" t="n"/>
      <c r="B118" s="5" t="n"/>
      <c r="C118" s="5" t="n"/>
      <c r="D118" s="4">
        <f>IF(A118="","",A118-WEEKDAY(A118,3))</f>
        <v/>
      </c>
      <c r="E118" s="5" t="n"/>
    </row>
    <row r="119">
      <c r="A119" s="8" t="n"/>
      <c r="B119" s="5" t="n"/>
      <c r="C119" s="5" t="n"/>
      <c r="D119" s="4">
        <f>IF(A119="","",A119-WEEKDAY(A119,3))</f>
        <v/>
      </c>
      <c r="E119" s="5" t="n"/>
    </row>
    <row r="120">
      <c r="A120" s="8" t="n"/>
      <c r="B120" s="5" t="n"/>
      <c r="C120" s="5" t="n"/>
      <c r="D120" s="4">
        <f>IF(A120="","",A120-WEEKDAY(A120,3))</f>
        <v/>
      </c>
      <c r="E120" s="5" t="n"/>
    </row>
    <row r="121">
      <c r="A121" s="8" t="n"/>
      <c r="B121" s="5" t="n"/>
      <c r="C121" s="5" t="n"/>
      <c r="D121" s="4">
        <f>IF(A121="","",A121-WEEKDAY(A121,3))</f>
        <v/>
      </c>
      <c r="E121" s="5" t="n"/>
    </row>
    <row r="122">
      <c r="A122" s="8" t="n"/>
      <c r="B122" s="5" t="n"/>
      <c r="C122" s="5" t="n"/>
      <c r="D122" s="4">
        <f>IF(A122="","",A122-WEEKDAY(A122,3))</f>
        <v/>
      </c>
      <c r="E122" s="5" t="n"/>
    </row>
    <row r="123">
      <c r="A123" s="8" t="n"/>
      <c r="B123" s="5" t="n"/>
      <c r="C123" s="5" t="n"/>
      <c r="D123" s="4">
        <f>IF(A123="","",A123-WEEKDAY(A123,3))</f>
        <v/>
      </c>
      <c r="E123" s="5" t="n"/>
    </row>
    <row r="124">
      <c r="A124" s="8" t="n"/>
      <c r="B124" s="5" t="n"/>
      <c r="C124" s="5" t="n"/>
      <c r="D124" s="4">
        <f>IF(A124="","",A124-WEEKDAY(A124,3))</f>
        <v/>
      </c>
      <c r="E124" s="5" t="n"/>
    </row>
    <row r="125">
      <c r="A125" s="8" t="n"/>
      <c r="B125" s="5" t="n"/>
      <c r="C125" s="5" t="n"/>
      <c r="D125" s="4">
        <f>IF(A125="","",A125-WEEKDAY(A125,3))</f>
        <v/>
      </c>
      <c r="E125" s="5" t="n"/>
    </row>
    <row r="126">
      <c r="A126" s="8" t="n"/>
      <c r="B126" s="5" t="n"/>
      <c r="C126" s="5" t="n"/>
      <c r="D126" s="4">
        <f>IF(A126="","",A126-WEEKDAY(A126,3))</f>
        <v/>
      </c>
      <c r="E126" s="5" t="n"/>
    </row>
    <row r="127">
      <c r="A127" s="8" t="n"/>
      <c r="B127" s="5" t="n"/>
      <c r="C127" s="5" t="n"/>
      <c r="D127" s="4">
        <f>IF(A127="","",A127-WEEKDAY(A127,3))</f>
        <v/>
      </c>
      <c r="E127" s="5" t="n"/>
    </row>
    <row r="128">
      <c r="A128" s="8" t="n"/>
      <c r="B128" s="5" t="n"/>
      <c r="C128" s="5" t="n"/>
      <c r="D128" s="4">
        <f>IF(A128="","",A128-WEEKDAY(A128,3))</f>
        <v/>
      </c>
      <c r="E128" s="5" t="n"/>
    </row>
    <row r="129">
      <c r="A129" s="8" t="n"/>
      <c r="B129" s="5" t="n"/>
      <c r="C129" s="5" t="n"/>
      <c r="D129" s="4">
        <f>IF(A129="","",A129-WEEKDAY(A129,3))</f>
        <v/>
      </c>
      <c r="E129" s="5" t="n"/>
    </row>
    <row r="130">
      <c r="A130" s="8" t="n"/>
      <c r="B130" s="5" t="n"/>
      <c r="C130" s="5" t="n"/>
      <c r="D130" s="4">
        <f>IF(A130="","",A130-WEEKDAY(A130,3))</f>
        <v/>
      </c>
      <c r="E130" s="5" t="n"/>
    </row>
    <row r="131">
      <c r="A131" s="8" t="n"/>
      <c r="B131" s="5" t="n"/>
      <c r="C131" s="5" t="n"/>
      <c r="D131" s="4">
        <f>IF(A131="","",A131-WEEKDAY(A131,3))</f>
        <v/>
      </c>
      <c r="E131" s="5" t="n"/>
    </row>
    <row r="132">
      <c r="A132" s="8" t="n"/>
      <c r="B132" s="5" t="n"/>
      <c r="C132" s="5" t="n"/>
      <c r="D132" s="4">
        <f>IF(A132="","",A132-WEEKDAY(A132,3))</f>
        <v/>
      </c>
      <c r="E132" s="5" t="n"/>
    </row>
    <row r="133">
      <c r="A133" s="8" t="n"/>
      <c r="B133" s="5" t="n"/>
      <c r="C133" s="5" t="n"/>
      <c r="D133" s="4">
        <f>IF(A133="","",A133-WEEKDAY(A133,3))</f>
        <v/>
      </c>
      <c r="E133" s="5" t="n"/>
    </row>
    <row r="134">
      <c r="A134" s="8" t="n"/>
      <c r="B134" s="5" t="n"/>
      <c r="C134" s="5" t="n"/>
      <c r="D134" s="4">
        <f>IF(A134="","",A134-WEEKDAY(A134,3))</f>
        <v/>
      </c>
      <c r="E134" s="5" t="n"/>
    </row>
    <row r="135">
      <c r="A135" s="8" t="n"/>
      <c r="B135" s="5" t="n"/>
      <c r="C135" s="5" t="n"/>
      <c r="D135" s="4">
        <f>IF(A135="","",A135-WEEKDAY(A135,3))</f>
        <v/>
      </c>
      <c r="E135" s="5" t="n"/>
    </row>
    <row r="136">
      <c r="A136" s="8" t="n"/>
      <c r="B136" s="5" t="n"/>
      <c r="C136" s="5" t="n"/>
      <c r="D136" s="4">
        <f>IF(A136="","",A136-WEEKDAY(A136,3))</f>
        <v/>
      </c>
      <c r="E136" s="5" t="n"/>
    </row>
    <row r="137">
      <c r="A137" s="8" t="n"/>
      <c r="B137" s="5" t="n"/>
      <c r="C137" s="5" t="n"/>
      <c r="D137" s="4">
        <f>IF(A137="","",A137-WEEKDAY(A137,3))</f>
        <v/>
      </c>
      <c r="E137" s="5" t="n"/>
    </row>
    <row r="138">
      <c r="A138" s="8" t="n"/>
      <c r="B138" s="5" t="n"/>
      <c r="C138" s="5" t="n"/>
      <c r="D138" s="4">
        <f>IF(A138="","",A138-WEEKDAY(A138,3))</f>
        <v/>
      </c>
      <c r="E138" s="5" t="n"/>
    </row>
    <row r="139">
      <c r="A139" s="8" t="n"/>
      <c r="B139" s="5" t="n"/>
      <c r="C139" s="5" t="n"/>
      <c r="D139" s="4">
        <f>IF(A139="","",A139-WEEKDAY(A139,3))</f>
        <v/>
      </c>
      <c r="E139" s="5" t="n"/>
    </row>
    <row r="140">
      <c r="A140" s="8" t="n"/>
      <c r="B140" s="5" t="n"/>
      <c r="C140" s="5" t="n"/>
      <c r="D140" s="4">
        <f>IF(A140="","",A140-WEEKDAY(A140,3))</f>
        <v/>
      </c>
      <c r="E140" s="5" t="n"/>
    </row>
    <row r="141">
      <c r="A141" s="8" t="n"/>
      <c r="B141" s="5" t="n"/>
      <c r="C141" s="5" t="n"/>
      <c r="D141" s="4">
        <f>IF(A141="","",A141-WEEKDAY(A141,3))</f>
        <v/>
      </c>
      <c r="E141" s="5" t="n"/>
    </row>
    <row r="142">
      <c r="A142" s="8" t="n"/>
      <c r="B142" s="5" t="n"/>
      <c r="C142" s="5" t="n"/>
      <c r="D142" s="4">
        <f>IF(A142="","",A142-WEEKDAY(A142,3))</f>
        <v/>
      </c>
      <c r="E142" s="5" t="n"/>
    </row>
    <row r="143">
      <c r="A143" s="8" t="n"/>
      <c r="B143" s="5" t="n"/>
      <c r="C143" s="5" t="n"/>
      <c r="D143" s="4">
        <f>IF(A143="","",A143-WEEKDAY(A143,3))</f>
        <v/>
      </c>
      <c r="E143" s="5" t="n"/>
    </row>
    <row r="144">
      <c r="A144" s="8" t="n"/>
      <c r="B144" s="5" t="n"/>
      <c r="C144" s="5" t="n"/>
      <c r="D144" s="4">
        <f>IF(A144="","",A144-WEEKDAY(A144,3))</f>
        <v/>
      </c>
      <c r="E144" s="5" t="n"/>
    </row>
    <row r="145">
      <c r="A145" s="8" t="n"/>
      <c r="B145" s="5" t="n"/>
      <c r="C145" s="5" t="n"/>
      <c r="D145" s="4">
        <f>IF(A145="","",A145-WEEKDAY(A145,3))</f>
        <v/>
      </c>
      <c r="E145" s="5" t="n"/>
    </row>
    <row r="146">
      <c r="A146" s="8" t="n"/>
      <c r="B146" s="5" t="n"/>
      <c r="C146" s="5" t="n"/>
      <c r="D146" s="4">
        <f>IF(A146="","",A146-WEEKDAY(A146,3))</f>
        <v/>
      </c>
      <c r="E146" s="5" t="n"/>
    </row>
    <row r="147">
      <c r="A147" s="8" t="n"/>
      <c r="B147" s="5" t="n"/>
      <c r="C147" s="5" t="n"/>
      <c r="D147" s="4">
        <f>IF(A147="","",A147-WEEKDAY(A147,3))</f>
        <v/>
      </c>
      <c r="E147" s="5" t="n"/>
    </row>
    <row r="148">
      <c r="A148" s="8" t="n"/>
      <c r="B148" s="5" t="n"/>
      <c r="C148" s="5" t="n"/>
      <c r="D148" s="4">
        <f>IF(A148="","",A148-WEEKDAY(A148,3))</f>
        <v/>
      </c>
      <c r="E148" s="5" t="n"/>
    </row>
    <row r="149">
      <c r="A149" s="8" t="n"/>
      <c r="B149" s="5" t="n"/>
      <c r="C149" s="5" t="n"/>
      <c r="D149" s="4">
        <f>IF(A149="","",A149-WEEKDAY(A149,3))</f>
        <v/>
      </c>
      <c r="E149" s="5" t="n"/>
    </row>
    <row r="150">
      <c r="A150" s="8" t="n"/>
      <c r="B150" s="5" t="n"/>
      <c r="C150" s="5" t="n"/>
      <c r="D150" s="4">
        <f>IF(A150="","",A150-WEEKDAY(A150,3))</f>
        <v/>
      </c>
      <c r="E150" s="5" t="n"/>
    </row>
    <row r="151">
      <c r="A151" s="8" t="n"/>
      <c r="B151" s="5" t="n"/>
      <c r="C151" s="5" t="n"/>
      <c r="D151" s="4">
        <f>IF(A151="","",A151-WEEKDAY(A151,3))</f>
        <v/>
      </c>
      <c r="E151" s="5" t="n"/>
    </row>
    <row r="152">
      <c r="A152" s="8" t="n"/>
      <c r="B152" s="5" t="n"/>
      <c r="C152" s="5" t="n"/>
      <c r="D152" s="4">
        <f>IF(A152="","",A152-WEEKDAY(A152,3))</f>
        <v/>
      </c>
      <c r="E152" s="5" t="n"/>
    </row>
    <row r="153">
      <c r="A153" s="8" t="n"/>
      <c r="B153" s="5" t="n"/>
      <c r="C153" s="5" t="n"/>
      <c r="D153" s="4">
        <f>IF(A153="","",A153-WEEKDAY(A153,3))</f>
        <v/>
      </c>
      <c r="E153" s="5" t="n"/>
    </row>
    <row r="154">
      <c r="A154" s="8" t="n"/>
      <c r="B154" s="5" t="n"/>
      <c r="C154" s="5" t="n"/>
      <c r="D154" s="4">
        <f>IF(A154="","",A154-WEEKDAY(A154,3))</f>
        <v/>
      </c>
      <c r="E154" s="5" t="n"/>
    </row>
    <row r="155">
      <c r="A155" s="8" t="n"/>
      <c r="B155" s="5" t="n"/>
      <c r="C155" s="5" t="n"/>
      <c r="D155" s="4">
        <f>IF(A155="","",A155-WEEKDAY(A155,3))</f>
        <v/>
      </c>
      <c r="E155" s="5" t="n"/>
    </row>
    <row r="156">
      <c r="A156" s="8" t="n"/>
      <c r="B156" s="5" t="n"/>
      <c r="C156" s="5" t="n"/>
      <c r="D156" s="4">
        <f>IF(A156="","",A156-WEEKDAY(A156,3))</f>
        <v/>
      </c>
      <c r="E156" s="5" t="n"/>
    </row>
    <row r="157">
      <c r="A157" s="8" t="n"/>
      <c r="B157" s="5" t="n"/>
      <c r="C157" s="5" t="n"/>
      <c r="D157" s="4">
        <f>IF(A157="","",A157-WEEKDAY(A157,3))</f>
        <v/>
      </c>
      <c r="E157" s="5" t="n"/>
    </row>
    <row r="158">
      <c r="A158" s="8" t="n"/>
      <c r="B158" s="5" t="n"/>
      <c r="C158" s="5" t="n"/>
      <c r="D158" s="4">
        <f>IF(A158="","",A158-WEEKDAY(A158,3))</f>
        <v/>
      </c>
      <c r="E158" s="5" t="n"/>
    </row>
    <row r="159">
      <c r="A159" s="8" t="n"/>
      <c r="B159" s="5" t="n"/>
      <c r="C159" s="5" t="n"/>
      <c r="D159" s="4">
        <f>IF(A159="","",A159-WEEKDAY(A159,3))</f>
        <v/>
      </c>
      <c r="E159" s="5" t="n"/>
    </row>
    <row r="160">
      <c r="A160" s="8" t="n"/>
      <c r="B160" s="5" t="n"/>
      <c r="C160" s="5" t="n"/>
      <c r="D160" s="4">
        <f>IF(A160="","",A160-WEEKDAY(A160,3))</f>
        <v/>
      </c>
      <c r="E160" s="5" t="n"/>
    </row>
    <row r="161">
      <c r="A161" s="8" t="n"/>
      <c r="B161" s="5" t="n"/>
      <c r="C161" s="5" t="n"/>
      <c r="D161" s="4">
        <f>IF(A161="","",A161-WEEKDAY(A161,3))</f>
        <v/>
      </c>
      <c r="E161" s="5" t="n"/>
    </row>
    <row r="162">
      <c r="A162" s="8" t="n"/>
      <c r="B162" s="5" t="n"/>
      <c r="C162" s="5" t="n"/>
      <c r="D162" s="4">
        <f>IF(A162="","",A162-WEEKDAY(A162,3))</f>
        <v/>
      </c>
      <c r="E162" s="5" t="n"/>
    </row>
    <row r="163">
      <c r="A163" s="8" t="n"/>
      <c r="B163" s="5" t="n"/>
      <c r="C163" s="5" t="n"/>
      <c r="D163" s="4">
        <f>IF(A163="","",A163-WEEKDAY(A163,3))</f>
        <v/>
      </c>
      <c r="E163" s="5" t="n"/>
    </row>
    <row r="164">
      <c r="A164" s="8" t="n"/>
      <c r="B164" s="5" t="n"/>
      <c r="C164" s="5" t="n"/>
      <c r="D164" s="4">
        <f>IF(A164="","",A164-WEEKDAY(A164,3))</f>
        <v/>
      </c>
      <c r="E164" s="5" t="n"/>
    </row>
    <row r="165">
      <c r="A165" s="8" t="n"/>
      <c r="B165" s="5" t="n"/>
      <c r="C165" s="5" t="n"/>
      <c r="D165" s="4">
        <f>IF(A165="","",A165-WEEKDAY(A165,3))</f>
        <v/>
      </c>
      <c r="E165" s="5" t="n"/>
    </row>
    <row r="166">
      <c r="A166" s="8" t="n"/>
      <c r="B166" s="5" t="n"/>
      <c r="C166" s="5" t="n"/>
      <c r="D166" s="4">
        <f>IF(A166="","",A166-WEEKDAY(A166,3))</f>
        <v/>
      </c>
      <c r="E166" s="5" t="n"/>
    </row>
    <row r="167">
      <c r="A167" s="8" t="n"/>
      <c r="B167" s="5" t="n"/>
      <c r="C167" s="5" t="n"/>
      <c r="D167" s="4">
        <f>IF(A167="","",A167-WEEKDAY(A167,3))</f>
        <v/>
      </c>
      <c r="E167" s="5" t="n"/>
    </row>
    <row r="168">
      <c r="A168" s="8" t="n"/>
      <c r="B168" s="5" t="n"/>
      <c r="C168" s="5" t="n"/>
      <c r="D168" s="4">
        <f>IF(A168="","",A168-WEEKDAY(A168,3))</f>
        <v/>
      </c>
      <c r="E168" s="5" t="n"/>
    </row>
    <row r="169">
      <c r="A169" s="8" t="n"/>
      <c r="B169" s="5" t="n"/>
      <c r="C169" s="5" t="n"/>
      <c r="D169" s="4">
        <f>IF(A169="","",A169-WEEKDAY(A169,3))</f>
        <v/>
      </c>
      <c r="E169" s="5" t="n"/>
    </row>
    <row r="170">
      <c r="A170" s="8" t="n"/>
      <c r="B170" s="5" t="n"/>
      <c r="C170" s="5" t="n"/>
      <c r="D170" s="4">
        <f>IF(A170="","",A170-WEEKDAY(A170,3))</f>
        <v/>
      </c>
      <c r="E170" s="5" t="n"/>
    </row>
    <row r="171">
      <c r="A171" s="8" t="n"/>
      <c r="B171" s="5" t="n"/>
      <c r="C171" s="5" t="n"/>
      <c r="D171" s="4">
        <f>IF(A171="","",A171-WEEKDAY(A171,3))</f>
        <v/>
      </c>
      <c r="E171" s="5" t="n"/>
    </row>
    <row r="172">
      <c r="A172" s="8" t="n"/>
      <c r="B172" s="5" t="n"/>
      <c r="C172" s="5" t="n"/>
      <c r="D172" s="4">
        <f>IF(A172="","",A172-WEEKDAY(A172,3))</f>
        <v/>
      </c>
      <c r="E172" s="5" t="n"/>
    </row>
    <row r="173">
      <c r="A173" s="8" t="n"/>
      <c r="B173" s="5" t="n"/>
      <c r="C173" s="5" t="n"/>
      <c r="D173" s="4">
        <f>IF(A173="","",A173-WEEKDAY(A173,3))</f>
        <v/>
      </c>
      <c r="E173" s="5" t="n"/>
    </row>
    <row r="174">
      <c r="A174" s="8" t="n"/>
      <c r="B174" s="5" t="n"/>
      <c r="C174" s="5" t="n"/>
      <c r="D174" s="4">
        <f>IF(A174="","",A174-WEEKDAY(A174,3))</f>
        <v/>
      </c>
      <c r="E174" s="5" t="n"/>
    </row>
    <row r="175">
      <c r="A175" s="8" t="n"/>
      <c r="B175" s="5" t="n"/>
      <c r="C175" s="5" t="n"/>
      <c r="D175" s="4">
        <f>IF(A175="","",A175-WEEKDAY(A175,3))</f>
        <v/>
      </c>
      <c r="E175" s="5" t="n"/>
    </row>
    <row r="176">
      <c r="A176" s="8" t="n"/>
      <c r="B176" s="5" t="n"/>
      <c r="C176" s="5" t="n"/>
      <c r="D176" s="4">
        <f>IF(A176="","",A176-WEEKDAY(A176,3))</f>
        <v/>
      </c>
      <c r="E176" s="5" t="n"/>
    </row>
    <row r="177">
      <c r="A177" s="8" t="n"/>
      <c r="B177" s="5" t="n"/>
      <c r="C177" s="5" t="n"/>
      <c r="D177" s="4">
        <f>IF(A177="","",A177-WEEKDAY(A177,3))</f>
        <v/>
      </c>
      <c r="E177" s="5" t="n"/>
    </row>
    <row r="178">
      <c r="A178" s="8" t="n"/>
      <c r="B178" s="5" t="n"/>
      <c r="C178" s="5" t="n"/>
      <c r="D178" s="4">
        <f>IF(A178="","",A178-WEEKDAY(A178,3))</f>
        <v/>
      </c>
      <c r="E178" s="5" t="n"/>
    </row>
    <row r="179">
      <c r="A179" s="8" t="n"/>
      <c r="B179" s="5" t="n"/>
      <c r="C179" s="5" t="n"/>
      <c r="D179" s="4">
        <f>IF(A179="","",A179-WEEKDAY(A179,3))</f>
        <v/>
      </c>
      <c r="E179" s="5" t="n"/>
    </row>
    <row r="180">
      <c r="A180" s="8" t="n"/>
      <c r="B180" s="5" t="n"/>
      <c r="C180" s="5" t="n"/>
      <c r="D180" s="4">
        <f>IF(A180="","",A180-WEEKDAY(A180,3))</f>
        <v/>
      </c>
      <c r="E180" s="5" t="n"/>
    </row>
    <row r="181">
      <c r="A181" s="8" t="n"/>
      <c r="B181" s="5" t="n"/>
      <c r="C181" s="5" t="n"/>
      <c r="D181" s="4">
        <f>IF(A181="","",A181-WEEKDAY(A181,3))</f>
        <v/>
      </c>
      <c r="E181" s="5" t="n"/>
    </row>
    <row r="182">
      <c r="A182" s="8" t="n"/>
      <c r="B182" s="5" t="n"/>
      <c r="C182" s="5" t="n"/>
      <c r="D182" s="4">
        <f>IF(A182="","",A182-WEEKDAY(A182,3))</f>
        <v/>
      </c>
      <c r="E182" s="5" t="n"/>
    </row>
    <row r="183">
      <c r="A183" s="8" t="n"/>
      <c r="B183" s="5" t="n"/>
      <c r="C183" s="5" t="n"/>
      <c r="D183" s="4">
        <f>IF(A183="","",A183-WEEKDAY(A183,3))</f>
        <v/>
      </c>
      <c r="E183" s="5" t="n"/>
    </row>
    <row r="184">
      <c r="A184" s="8" t="n"/>
      <c r="B184" s="5" t="n"/>
      <c r="C184" s="5" t="n"/>
      <c r="D184" s="4">
        <f>IF(A184="","",A184-WEEKDAY(A184,3))</f>
        <v/>
      </c>
      <c r="E184" s="5" t="n"/>
    </row>
    <row r="185">
      <c r="A185" s="8" t="n"/>
      <c r="B185" s="5" t="n"/>
      <c r="C185" s="5" t="n"/>
      <c r="D185" s="4">
        <f>IF(A185="","",A185-WEEKDAY(A185,3))</f>
        <v/>
      </c>
      <c r="E185" s="5" t="n"/>
    </row>
    <row r="186">
      <c r="A186" s="8" t="n"/>
      <c r="B186" s="5" t="n"/>
      <c r="C186" s="5" t="n"/>
      <c r="D186" s="4">
        <f>IF(A186="","",A186-WEEKDAY(A186,3))</f>
        <v/>
      </c>
      <c r="E186" s="5" t="n"/>
    </row>
    <row r="187">
      <c r="A187" s="8" t="n"/>
      <c r="B187" s="5" t="n"/>
      <c r="C187" s="5" t="n"/>
      <c r="D187" s="4">
        <f>IF(A187="","",A187-WEEKDAY(A187,3))</f>
        <v/>
      </c>
      <c r="E187" s="5" t="n"/>
    </row>
    <row r="188">
      <c r="A188" s="8" t="n"/>
      <c r="B188" s="5" t="n"/>
      <c r="C188" s="5" t="n"/>
      <c r="D188" s="4">
        <f>IF(A188="","",A188-WEEKDAY(A188,3))</f>
        <v/>
      </c>
      <c r="E188" s="5" t="n"/>
    </row>
    <row r="189">
      <c r="A189" s="8" t="n"/>
      <c r="B189" s="5" t="n"/>
      <c r="C189" s="5" t="n"/>
      <c r="D189" s="4">
        <f>IF(A189="","",A189-WEEKDAY(A189,3))</f>
        <v/>
      </c>
      <c r="E189" s="5" t="n"/>
    </row>
    <row r="190">
      <c r="A190" s="8" t="n"/>
      <c r="B190" s="5" t="n"/>
      <c r="C190" s="5" t="n"/>
      <c r="D190" s="4">
        <f>IF(A190="","",A190-WEEKDAY(A190,3))</f>
        <v/>
      </c>
      <c r="E190" s="5" t="n"/>
    </row>
    <row r="191">
      <c r="A191" s="8" t="n"/>
      <c r="B191" s="5" t="n"/>
      <c r="C191" s="5" t="n"/>
      <c r="D191" s="4">
        <f>IF(A191="","",A191-WEEKDAY(A191,3))</f>
        <v/>
      </c>
      <c r="E191" s="5" t="n"/>
    </row>
    <row r="192">
      <c r="A192" s="8" t="n"/>
      <c r="B192" s="5" t="n"/>
      <c r="C192" s="5" t="n"/>
      <c r="D192" s="4">
        <f>IF(A192="","",A192-WEEKDAY(A192,3))</f>
        <v/>
      </c>
      <c r="E192" s="5" t="n"/>
    </row>
    <row r="193">
      <c r="A193" s="8" t="n"/>
      <c r="B193" s="5" t="n"/>
      <c r="C193" s="5" t="n"/>
      <c r="D193" s="4">
        <f>IF(A193="","",A193-WEEKDAY(A193,3))</f>
        <v/>
      </c>
      <c r="E193" s="5" t="n"/>
    </row>
    <row r="194">
      <c r="A194" s="8" t="n"/>
      <c r="B194" s="5" t="n"/>
      <c r="C194" s="5" t="n"/>
      <c r="D194" s="4">
        <f>IF(A194="","",A194-WEEKDAY(A194,3))</f>
        <v/>
      </c>
      <c r="E194" s="5" t="n"/>
    </row>
    <row r="195">
      <c r="A195" s="8" t="n"/>
      <c r="B195" s="5" t="n"/>
      <c r="C195" s="5" t="n"/>
      <c r="D195" s="4">
        <f>IF(A195="","",A195-WEEKDAY(A195,3))</f>
        <v/>
      </c>
      <c r="E195" s="5" t="n"/>
    </row>
    <row r="196">
      <c r="A196" s="8" t="n"/>
      <c r="B196" s="5" t="n"/>
      <c r="C196" s="5" t="n"/>
      <c r="D196" s="4">
        <f>IF(A196="","",A196-WEEKDAY(A196,3))</f>
        <v/>
      </c>
      <c r="E196" s="5" t="n"/>
    </row>
    <row r="197">
      <c r="A197" s="8" t="n"/>
      <c r="B197" s="5" t="n"/>
      <c r="C197" s="5" t="n"/>
      <c r="D197" s="4">
        <f>IF(A197="","",A197-WEEKDAY(A197,3))</f>
        <v/>
      </c>
      <c r="E197" s="5" t="n"/>
    </row>
    <row r="198">
      <c r="A198" s="8" t="n"/>
      <c r="B198" s="5" t="n"/>
      <c r="C198" s="5" t="n"/>
      <c r="D198" s="4">
        <f>IF(A198="","",A198-WEEKDAY(A198,3))</f>
        <v/>
      </c>
      <c r="E198" s="5" t="n"/>
    </row>
    <row r="199">
      <c r="A199" s="8" t="n"/>
      <c r="B199" s="5" t="n"/>
      <c r="C199" s="5" t="n"/>
      <c r="D199" s="4">
        <f>IF(A199="","",A199-WEEKDAY(A199,3))</f>
        <v/>
      </c>
      <c r="E199" s="5" t="n"/>
    </row>
    <row r="200">
      <c r="A200" s="8" t="n"/>
      <c r="B200" s="5" t="n"/>
      <c r="C200" s="5" t="n"/>
      <c r="D200" s="4">
        <f>IF(A200="","",A200-WEEKDAY(A200,3))</f>
        <v/>
      </c>
      <c r="E200" s="5" t="n"/>
    </row>
    <row r="201">
      <c r="A201" s="8" t="n"/>
      <c r="B201" s="5" t="n"/>
      <c r="C201" s="5" t="n"/>
      <c r="D201" s="4">
        <f>IF(A201="","",A201-WEEKDAY(A201,3))</f>
        <v/>
      </c>
      <c r="E2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2026-10-24T01:08:35Z</dcterms:created>
  <dcterms:modified xmlns:dcterms="http://purl.org/dc/terms/" xmlns:xsi="http://www.w3.org/2001/XMLSchema-instance" xsi:type="dcterms:W3CDTF">2026-10-24T01:08:35Z</dcterms:modified>
</cp:coreProperties>
</file>