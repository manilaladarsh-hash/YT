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Programs" sheetId="2" state="visible" r:id="rId2"/>
    <sheet xmlns:r="http://schemas.openxmlformats.org/officeDocument/2006/relationships" name="Shortlist" sheetId="3" state="visible" r:id="rId3"/>
    <sheet xmlns:r="http://schemas.openxmlformats.org/officeDocument/2006/relationships" name="Budget" sheetId="4" state="visible" r:id="rId4"/>
    <sheet xmlns:r="http://schemas.openxmlformats.org/officeDocument/2006/relationships" name="Recommenders" sheetId="5" state="visible" r:id="rId5"/>
    <sheet xmlns:r="http://schemas.openxmlformats.org/officeDocument/2006/relationships" name="Supervisor outreach" sheetId="6" state="visible" r:id="rId6"/>
    <sheet xmlns:r="http://schemas.openxmlformats.org/officeDocument/2006/relationships" name="Sources" sheetId="7" state="visible" r:id="rId7"/>
  </sheets>
  <definedNames>
    <definedName name="_xlnm._FilterDatabase" localSheetId="1" hidden="1">'Programs'!$A$1:$W$83</definedName>
    <definedName name="_xlnm._FilterDatabase" localSheetId="6" hidden="1">'Sources'!$A$1:$H$821</definedName>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sz val="14"/>
    </font>
    <font>
      <sz val="11"/>
    </font>
    <font>
      <color rgb="001F5F8B"/>
      <u val="single"/>
    </font>
    <font>
      <b val="1"/>
      <color rgb="00FFFFFF"/>
    </font>
    <font>
      <b val="1"/>
    </font>
  </fonts>
  <fills count="4">
    <fill>
      <patternFill/>
    </fill>
    <fill>
      <patternFill patternType="gray125"/>
    </fill>
    <fill>
      <patternFill patternType="solid">
        <fgColor rgb="001F5F8B"/>
      </patternFill>
    </fill>
    <fill>
      <patternFill patternType="solid">
        <fgColor rgb="00FFF7D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4" fillId="2"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164" fontId="0" fillId="0" borderId="0" applyAlignment="1" pivotButton="0" quotePrefix="0" xfId="0">
      <alignment vertical="top" wrapText="1"/>
    </xf>
    <xf numFmtId="0" fontId="0" fillId="3" borderId="0" pivotButton="0" quotePrefix="0" xfId="0"/>
    <xf numFmtId="164" fontId="0" fillId="0" borderId="0" pivotButton="0" quotePrefix="0" xfId="0"/>
    <xf numFmtId="0" fontId="4" fillId="2" borderId="0" pivotButton="0" quotePrefix="0" xfId="0"/>
    <xf numFmtId="0" fontId="5" fillId="0" borderId="0" pivotButton="0" quotePrefix="0" xfId="0"/>
    <xf numFmtId="3" fontId="0" fillId="0" borderId="0" pivotButton="0" quotePrefix="0" xfId="0"/>
    <xf numFmtId="164"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alto.fi/en/study-options/aalto-doctoral-programme-in-science-0" TargetMode="External" Id="rId1"/><Relationship Type="http://schemas.openxmlformats.org/officeDocument/2006/relationships/hyperlink" Target="https://www.bu.edu/physics/graduate-program/graduate-program-admissions/" TargetMode="External" Id="rId2"/><Relationship Type="http://schemas.openxmlformats.org/officeDocument/2006/relationships/hyperlink" Target="https://physics.caltech.edu/academics/graduate-studies/information-for-applicants" TargetMode="External" Id="rId3"/><Relationship Type="http://schemas.openxmlformats.org/officeDocument/2006/relationships/hyperlink" Target="https://graduate.carleton.ca/program/physics-doctoral-programs/" TargetMode="External" Id="rId4"/><Relationship Type="http://schemas.openxmlformats.org/officeDocument/2006/relationships/hyperlink" Target="https://www.chalmers.se/en/research/doctoral-studies/graduate-schools/physics/" TargetMode="External" Id="rId5"/><Relationship Type="http://schemas.openxmlformats.org/officeDocument/2006/relationships/hyperlink" Target="https://www.physics.columbia.edu/content/applying-columbia-physics-graduate-program" TargetMode="External" Id="rId6"/><Relationship Type="http://schemas.openxmlformats.org/officeDocument/2006/relationships/hyperlink" Target="https://physics.cornell.edu/prospective-graduate-students" TargetMode="External" Id="rId7"/><Relationship Type="http://schemas.openxmlformats.org/officeDocument/2006/relationships/hyperlink" Target="https://www.dal.ca/faculty/science/physics/graduate/apply.html" TargetMode="External" Id="rId8"/><Relationship Type="http://schemas.openxmlformats.org/officeDocument/2006/relationships/hyperlink" Target="https://www.tudelft.nl/en/faculty-of-applied-sciences/research/phd" TargetMode="External" Id="rId9"/><Relationship Type="http://schemas.openxmlformats.org/officeDocument/2006/relationships/hyperlink" Target="https://www.durham.ac.uk/departments/academic/physics/postgraduate-study/research-degrees/how-to-apply/" TargetMode="External" Id="rId10"/><Relationship Type="http://schemas.openxmlformats.org/officeDocument/2006/relationships/hyperlink" Target="https://www.epfl.ch/education/phd/edpy-physics/edpy-how-to-apply/" TargetMode="External" Id="rId11"/><Relationship Type="http://schemas.openxmlformats.org/officeDocument/2006/relationships/hyperlink" Target="https://ethz.ch/en/doctorate/finding-a-place.html" TargetMode="External" Id="rId12"/><Relationship Type="http://schemas.openxmlformats.org/officeDocument/2006/relationships/hyperlink" Target="https://physics.gatech.edu/academics/graduate/admissions-info" TargetMode="External" Id="rId13"/><Relationship Type="http://schemas.openxmlformats.org/officeDocument/2006/relationships/hyperlink" Target="https://gsas.harvard.edu/program/physics" TargetMode="External" Id="rId14"/><Relationship Type="http://schemas.openxmlformats.org/officeDocument/2006/relationships/hyperlink" Target="https://hgsfp.physik.uni-heidelberg.de/howtoapply#start" TargetMode="External" Id="rId15"/><Relationship Type="http://schemas.openxmlformats.org/officeDocument/2006/relationships/hyperlink" Target="https://www.imprs-hd.mpg.de/3192/Application" TargetMode="External" Id="rId16"/><Relationship Type="http://schemas.openxmlformats.org/officeDocument/2006/relationships/hyperlink" Target="https://www.icfo.eu/studies/phd-program/" TargetMode="External" Id="rId17"/><Relationship Type="http://schemas.openxmlformats.org/officeDocument/2006/relationships/hyperlink" Target="https://www.imperial.ac.uk/natural-sciences/departments/physics/students/postgraduate-admissions/phd-opportunities/" TargetMode="External" Id="rId18"/><Relationship Type="http://schemas.openxmlformats.org/officeDocument/2006/relationships/hyperlink" Target="https://physics.indiana.edu/graduate/how-to-apply/international-applications.html" TargetMode="External" Id="rId19"/><Relationship Type="http://schemas.openxmlformats.org/officeDocument/2006/relationships/hyperlink" Target="https://physics-astronomy.jhu.edu/graduate/admissions/" TargetMode="External" Id="rId20"/><Relationship Type="http://schemas.openxmlformats.org/officeDocument/2006/relationships/hyperlink" Target="https://www.kth.se/en/sci/utbildning/forskarutbildning/forskaramnet-fysik-1.795636" TargetMode="External" Id="rId21"/><Relationship Type="http://schemas.openxmlformats.org/officeDocument/2006/relationships/hyperlink" Target="https://www.imprs-quantum.mpg.de/3192/Application" TargetMode="External" Id="rId22"/><Relationship Type="http://schemas.openxmlformats.org/officeDocument/2006/relationships/hyperlink" Target="https://www.universiteitleiden.nl/en/science/physics/phd-programme" TargetMode="External" Id="rId23"/><Relationship Type="http://schemas.openxmlformats.org/officeDocument/2006/relationships/hyperlink" Target="https://oge.mit.edu/programs/physics/" TargetMode="External" Id="rId24"/><Relationship Type="http://schemas.openxmlformats.org/officeDocument/2006/relationships/hyperlink" Target="https://imprs-cpqm.mpg.de/apply-now" TargetMode="External" Id="rId25"/><Relationship Type="http://schemas.openxmlformats.org/officeDocument/2006/relationships/hyperlink" Target="https://www.mpi-hd.mpg.de/imprs-qd/application/" TargetMode="External" Id="rId26"/><Relationship Type="http://schemas.openxmlformats.org/officeDocument/2006/relationships/hyperlink" Target="https://www.mps.mpg.de/phd/application" TargetMode="External" Id="rId27"/><Relationship Type="http://schemas.openxmlformats.org/officeDocument/2006/relationships/hyperlink" Target="https://www.physics.mcgill.ca/grads/application.html" TargetMode="External" Id="rId28"/><Relationship Type="http://schemas.openxmlformats.org/officeDocument/2006/relationships/hyperlink" Target="https://physics.mcmaster.ca/graduate-studies/how-to-apply/" TargetMode="External" Id="rId29"/><Relationship Type="http://schemas.openxmlformats.org/officeDocument/2006/relationships/hyperlink" Target="https://physics.sciences.ncsu.edu/graduate/apply/" TargetMode="External" Id="rId30"/><Relationship Type="http://schemas.openxmlformats.org/officeDocument/2006/relationships/hyperlink" Target="https://science.psu.edu/physics/graduate/applying" TargetMode="External" Id="rId31"/><Relationship Type="http://schemas.openxmlformats.org/officeDocument/2006/relationships/hyperlink" Target="https://www.physics.purdue.edu/academic-programs/future_students/admissions.html" TargetMode="External" Id="rId32"/><Relationship Type="http://schemas.openxmlformats.org/officeDocument/2006/relationships/hyperlink" Target="https://www.queensu.ca/physics/grad-studies/applicants" TargetMode="External" Id="rId33"/><Relationship Type="http://schemas.openxmlformats.org/officeDocument/2006/relationships/hyperlink" Target="https://physics.rice.edu/how-apply" TargetMode="External" Id="rId34"/><Relationship Type="http://schemas.openxmlformats.org/officeDocument/2006/relationships/hyperlink" Target="https://physics.rutgers.edu/academics/graduate-program/admissions" TargetMode="External" Id="rId35"/><Relationship Type="http://schemas.openxmlformats.org/officeDocument/2006/relationships/hyperlink" Target="https://cm.sissa.it/phd/admission" TargetMode="External" Id="rId36"/><Relationship Type="http://schemas.openxmlformats.org/officeDocument/2006/relationships/hyperlink" Target="https://www.sfu.ca/physics/graduate/prospective/applying.html" TargetMode="External" Id="rId37"/><Relationship Type="http://schemas.openxmlformats.org/officeDocument/2006/relationships/hyperlink" Target="https://physics.stanford.edu/graduate/graduate-admissions" TargetMode="External" Id="rId38"/><Relationship Type="http://schemas.openxmlformats.org/officeDocument/2006/relationships/hyperlink" Target="https://www.su.se/english/divisions/department-of-physics/education/courses-and-programmes/doctoral-studies-at-the-department-of-physics" TargetMode="External" Id="rId39"/><Relationship Type="http://schemas.openxmlformats.org/officeDocument/2006/relationships/hyperlink" Target="https://www.stonybrook.edu/physics/graduate/apply.html" TargetMode="External" Id="rId40"/><Relationship Type="http://schemas.openxmlformats.org/officeDocument/2006/relationships/hyperlink" Target="https://www.gs.tum.de/en/gs/path-to-a-doctorate/application/requirements/" TargetMode="External" Id="rId41"/><Relationship Type="http://schemas.openxmlformats.org/officeDocument/2006/relationships/hyperlink" Target="https://artsci.tamu.edu/physics-astronomy/academics/prospective-graduates/how-to-apply.html" TargetMode="External" Id="rId42"/><Relationship Type="http://schemas.openxmlformats.org/officeDocument/2006/relationships/hyperlink" Target="https://physics.osu.edu/graduate/prospective-students" TargetMode="External" Id="rId43"/><Relationship Type="http://schemas.openxmlformats.org/officeDocument/2006/relationships/hyperlink" Target="https://www.tcd.ie/physics/study/prospective/postgraduate/how-to-apply/" TargetMode="External" Id="rId44"/><Relationship Type="http://schemas.openxmlformats.org/officeDocument/2006/relationships/hyperlink" Target="https://www.uni-bonn.de/de/forschung-lehre/early-career/eine-promotion-planen/spps/bigs-physics-and-astronomy" TargetMode="External" Id="rId45"/><Relationship Type="http://schemas.openxmlformats.org/officeDocument/2006/relationships/hyperlink" Target="https://www.ualberta.ca/en/physics/graduate-studies/information-for-prospective-students-and-applicants/deadlines.html" TargetMode="External" Id="rId46"/><Relationship Type="http://schemas.openxmlformats.org/officeDocument/2006/relationships/hyperlink" Target="https://www.uva.nl/en/research/phd/admission-to-a-doctoral-programme/admission-to-a-doctoral-programme.html" TargetMode="External" Id="rId47"/><Relationship Type="http://schemas.openxmlformats.org/officeDocument/2006/relationships/hyperlink" Target="https://physics.arizona.edu/graduate-studies/apply-programs/phd-application-procedure" TargetMode="External" Id="rId48"/><Relationship Type="http://schemas.openxmlformats.org/officeDocument/2006/relationships/hyperlink" Target="https://www.bristol.ac.uk/study/postgraduate/research/physics/" TargetMode="External" Id="rId49"/><Relationship Type="http://schemas.openxmlformats.org/officeDocument/2006/relationships/hyperlink" Target="https://www.grad.ubc.ca/prospective-students/graduate-degree-programs/phd-physics" TargetMode="External" Id="rId50"/><Relationship Type="http://schemas.openxmlformats.org/officeDocument/2006/relationships/hyperlink" Target="https://grad.ucalgary.ca/future-students/graduate/discover-opportunities/explore-programs/physics-and-astronomy-phd" TargetMode="External" Id="rId51"/><Relationship Type="http://schemas.openxmlformats.org/officeDocument/2006/relationships/hyperlink" Target="https://physics.berkeley.edu/academic/graduate-degree/graduate-admissions" TargetMode="External" Id="rId52"/><Relationship Type="http://schemas.openxmlformats.org/officeDocument/2006/relationships/hyperlink" Target="https://www.physics.uci.edu/apply" TargetMode="External" Id="rId53"/><Relationship Type="http://schemas.openxmlformats.org/officeDocument/2006/relationships/hyperlink" Target="https://grad.ucla.edu/requirements/?app=admission&amp;major=0666" TargetMode="External" Id="rId54"/><Relationship Type="http://schemas.openxmlformats.org/officeDocument/2006/relationships/hyperlink" Target="https://www.physics.ucsb.edu/academics/graduate/apply" TargetMode="External" Id="rId55"/><Relationship Type="http://schemas.openxmlformats.org/officeDocument/2006/relationships/hyperlink" Target="https://www.postgraduate.study.cam.ac.uk/courses/directory/pcphpdphy" TargetMode="External" Id="rId56"/><Relationship Type="http://schemas.openxmlformats.org/officeDocument/2006/relationships/hyperlink" Target="https://physicsrecruitment.psd.uchicago.edu/apply/" TargetMode="External" Id="rId57"/><Relationship Type="http://schemas.openxmlformats.org/officeDocument/2006/relationships/hyperlink" Target="https://www.colorado.edu/physics/admissions/graduate-application-information" TargetMode="External" Id="rId58"/><Relationship Type="http://schemas.openxmlformats.org/officeDocument/2006/relationships/hyperlink" Target="https://science.ku.dk/phd/appguide/" TargetMode="External" Id="rId59"/><Relationship Type="http://schemas.openxmlformats.org/officeDocument/2006/relationships/hyperlink" Target="https://www.ph.ed.ac.uk/studying/postgraduate-research/how-apply" TargetMode="External" Id="rId60"/><Relationship Type="http://schemas.openxmlformats.org/officeDocument/2006/relationships/hyperlink" Target="https://www.uoguelph.ca/physics/future-students/grad-apply" TargetMode="External" Id="rId61"/><Relationship Type="http://schemas.openxmlformats.org/officeDocument/2006/relationships/hyperlink" Target="https://physics.illinois.edu/admissions/graduates/apply" TargetMode="External" Id="rId62"/><Relationship Type="http://schemas.openxmlformats.org/officeDocument/2006/relationships/hyperlink" Target="https://umanitoba.ca/explore/programs-of-study/physics-phd" TargetMode="External" Id="rId63"/><Relationship Type="http://schemas.openxmlformats.org/officeDocument/2006/relationships/hyperlink" Target="https://academiccatalog.umd.edu/graduate/programs/physics-phys/" TargetMode="External" Id="rId64"/><Relationship Type="http://schemas.openxmlformats.org/officeDocument/2006/relationships/hyperlink" Target="https://cse.umn.edu/physics/graduate-admissions" TargetMode="External" Id="rId65"/><Relationship Type="http://schemas.openxmlformats.org/officeDocument/2006/relationships/hyperlink" Target="https://physics.nd.edu/graduate/apply/" TargetMode="External" Id="rId66"/><Relationship Type="http://schemas.openxmlformats.org/officeDocument/2006/relationships/hyperlink" Target="https://catalogue.uottawa.ca/en/graduate/doctorate-philosophy-physics/" TargetMode="External" Id="rId67"/><Relationship Type="http://schemas.openxmlformats.org/officeDocument/2006/relationships/hyperlink" Target="https://www.unipd.it/en/dottorato/dottorati-42-ciclo" TargetMode="External" Id="rId68"/><Relationship Type="http://schemas.openxmlformats.org/officeDocument/2006/relationships/hyperlink" Target="https://www.physicsandastronomy.pitt.edu/graduate/how-apply" TargetMode="External" Id="rId69"/><Relationship Type="http://schemas.openxmlformats.org/officeDocument/2006/relationships/hyperlink" Target="https://grad.usask.ca/programs/physics-engineering-physics.php" TargetMode="External" Id="rId70"/><Relationship Type="http://schemas.openxmlformats.org/officeDocument/2006/relationships/hyperlink" Target="https://physics.utexas.edu/academics/admissions" TargetMode="External" Id="rId71"/><Relationship Type="http://schemas.openxmlformats.org/officeDocument/2006/relationships/hyperlink" Target="https://www.physics.utoronto.ca/graduate/prospective-students/graduate-admissions-department-physics/application-procedure/" TargetMode="External" Id="rId72"/><Relationship Type="http://schemas.openxmlformats.org/officeDocument/2006/relationships/hyperlink" Target="https://graduate.as.virginia.edu/requirements" TargetMode="External" Id="rId73"/><Relationship Type="http://schemas.openxmlformats.org/officeDocument/2006/relationships/hyperlink" Target="https://phys.washington.edu/graduate-programs" TargetMode="External" Id="rId74"/><Relationship Type="http://schemas.openxmlformats.org/officeDocument/2006/relationships/hyperlink" Target="https://uwaterloo.ca/physics-astronomy/graduate-studies/how-apply" TargetMode="External" Id="rId75"/><Relationship Type="http://schemas.openxmlformats.org/officeDocument/2006/relationships/hyperlink" Target="https://www.physics.wisc.edu/graduate/phd-program/" TargetMode="External" Id="rId76"/><Relationship Type="http://schemas.openxmlformats.org/officeDocument/2006/relationships/hyperlink" Target="https://www.physik.uzh.ch/en/study/Study-Degree-Programmes/phd.html" TargetMode="External" Id="rId77"/><Relationship Type="http://schemas.openxmlformats.org/officeDocument/2006/relationships/hyperlink" Target="https://www.universite-paris-saclay.fr/en/phd-program-physics-graduate-school-physics" TargetMode="External" Id="rId78"/><Relationship Type="http://schemas.openxmlformats.org/officeDocument/2006/relationships/hyperlink" Target="https://www.uu.se/en/department/physics-and-astronomy/study/phd-studies" TargetMode="External" Id="rId79"/><Relationship Type="http://schemas.openxmlformats.org/officeDocument/2006/relationships/hyperlink" Target="https://as.vanderbilt.edu/physics-astronomy/phd-physics-admissions/" TargetMode="External" Id="rId80"/><Relationship Type="http://schemas.openxmlformats.org/officeDocument/2006/relationships/hyperlink" Target="https://www.physics.uwo.ca/graduate/future_students/admission_requirements.html" TargetMode="External" Id="rId81"/><Relationship Type="http://schemas.openxmlformats.org/officeDocument/2006/relationships/hyperlink" Target="https://physics.yale.edu/apply" TargetMode="External" Id="rId82"/></Relationships>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1" t="inlineStr">
        <is>
          <t>Physics PhD Atlas 2027: planner workbook</t>
        </is>
      </c>
    </row>
    <row r="2">
      <c r="A2" s="2" t="inlineStr">
        <is>
          <t>Version 1.1 · 82 programs · data checked October 22, 2026</t>
        </is>
      </c>
    </row>
    <row r="3">
      <c r="A3" s="2" t="inlineStr"/>
    </row>
    <row r="4">
      <c r="A4" s="2" t="inlineStr">
        <is>
          <t>1. Programs: every program with deadline, fee, waivers, tests, supervisor rule and funding. Filter with the header arrows.</t>
        </is>
      </c>
    </row>
    <row r="5">
      <c r="A5" s="2" t="inlineStr">
        <is>
          <t>2. Shortlist: choose a program from the drop-down in column A; the other columns fill in automatically. Yellow cells are yours to edit.</t>
        </is>
      </c>
    </row>
    <row r="6">
      <c r="A6" s="2" t="inlineStr">
        <is>
          <t>3. Budget: totals your shortlisted application fees by currency. Add score-sending and transcript costs from the official sites, and today's exchange rates.</t>
        </is>
      </c>
    </row>
    <row r="7">
      <c r="A7" s="2" t="inlineStr">
        <is>
          <t>4. Recommenders and Supervisor outreach: track requests; follow-up dates calculate themselves.</t>
        </is>
      </c>
    </row>
    <row r="8">
      <c r="A8" s="2" t="inlineStr">
        <is>
          <t>5. Sources: the exact official sentence and link behind every value.</t>
        </is>
      </c>
    </row>
    <row r="9">
      <c r="A9" s="2" t="inlineStr"/>
    </row>
    <row r="10">
      <c r="A10" s="2" t="inlineStr">
        <is>
          <t>'Not stated' = the official pages checked did not say (not a 'no'). Always confirm on the official page before paying or submitting.</t>
        </is>
      </c>
    </row>
    <row r="11">
      <c r="A11" s="2" t="inlineStr">
        <is>
          <t>Not affiliated with any university. Not immigration, visa or legal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9" customWidth="1" min="3" max="3"/>
    <col width="16" customWidth="1" min="4" max="4"/>
    <col width="12" customWidth="1" min="5" max="5"/>
    <col width="40" customWidth="1" min="6" max="6"/>
    <col width="10" customWidth="1" min="7" max="7"/>
    <col width="9" customWidth="1" min="8" max="8"/>
    <col width="14" customWidth="1" min="9" max="9"/>
    <col width="40" customWidth="1" min="10" max="10"/>
    <col width="13" customWidth="1" min="11" max="11"/>
    <col width="13" customWidth="1" min="12" max="12"/>
    <col width="12" customWidth="1" min="13" max="13"/>
    <col width="13" customWidth="1" min="14" max="14"/>
    <col width="40" customWidth="1" min="15" max="15"/>
    <col width="14" customWidth="1" min="16" max="16"/>
    <col width="40" customWidth="1" min="17" max="17"/>
    <col width="12" customWidth="1" min="18" max="18"/>
    <col width="40" customWidth="1" min="19" max="19"/>
    <col width="18" customWidth="1" min="20" max="20"/>
    <col width="40" customWidth="1" min="21" max="21"/>
    <col width="40" customWidth="1" min="22" max="22"/>
    <col width="11" customWidth="1" min="23" max="23"/>
  </cols>
  <sheetData>
    <row r="1">
      <c r="A1" s="3" t="inlineStr">
        <is>
          <t>Program</t>
        </is>
      </c>
      <c r="B1" s="3" t="inlineStr">
        <is>
          <t>Institution and department</t>
        </is>
      </c>
      <c r="C1" s="3" t="inlineStr">
        <is>
          <t>Country</t>
        </is>
      </c>
      <c r="D1" s="3" t="inlineStr">
        <is>
          <t>Region</t>
        </is>
      </c>
      <c r="E1" s="3" t="inlineStr">
        <is>
          <t>Deadline</t>
        </is>
      </c>
      <c r="F1" s="3" t="inlineStr">
        <is>
          <t>Deadline note</t>
        </is>
      </c>
      <c r="G1" s="3" t="inlineStr">
        <is>
          <t>Fee amount</t>
        </is>
      </c>
      <c r="H1" s="3" t="inlineStr">
        <is>
          <t>Fee currency</t>
        </is>
      </c>
      <c r="I1" s="3" t="inlineStr">
        <is>
          <t>Intl fee waiver</t>
        </is>
      </c>
      <c r="J1" s="3" t="inlineStr">
        <is>
          <t>Fee waiver detail</t>
        </is>
      </c>
      <c r="K1" s="3" t="inlineStr">
        <is>
          <t>GRE General</t>
        </is>
      </c>
      <c r="L1" s="3" t="inlineStr">
        <is>
          <t>Physics GRE</t>
        </is>
      </c>
      <c r="M1" s="3" t="inlineStr">
        <is>
          <t>TOEFL minimum</t>
        </is>
      </c>
      <c r="N1" s="3" t="inlineStr">
        <is>
          <t>English waiver</t>
        </is>
      </c>
      <c r="O1" s="3" t="inlineStr">
        <is>
          <t>English detail</t>
        </is>
      </c>
      <c r="P1" s="3" t="inlineStr">
        <is>
          <t>Supervisor</t>
        </is>
      </c>
      <c r="Q1" s="3" t="inlineStr">
        <is>
          <t>Supervisor detail</t>
        </is>
      </c>
      <c r="R1" s="3" t="inlineStr">
        <is>
          <t>Funding</t>
        </is>
      </c>
      <c r="S1" s="3" t="inlineStr">
        <is>
          <t>Funding detail</t>
        </is>
      </c>
      <c r="T1" s="3" t="inlineStr">
        <is>
          <t>Entry route</t>
        </is>
      </c>
      <c r="U1" s="3" t="inlineStr">
        <is>
          <t>Notes</t>
        </is>
      </c>
      <c r="V1" s="3" t="inlineStr">
        <is>
          <t>Admissions page</t>
        </is>
      </c>
      <c r="W1" s="3" t="inlineStr">
        <is>
          <t>Checked</t>
        </is>
      </c>
    </row>
    <row r="2">
      <c r="A2" s="4" t="inlineStr">
        <is>
          <t>Aalto</t>
        </is>
      </c>
      <c r="B2" s="4" t="inlineStr">
        <is>
          <t>Aalto University · Doctoral Programme in Science (SCI), School of Science (incl. Applied Physics)</t>
        </is>
      </c>
      <c r="C2" s="4" t="inlineStr">
        <is>
          <t>Finland</t>
        </is>
      </c>
      <c r="D2" s="4" t="inlineStr">
        <is>
          <t>Uusimaa (Espoo)</t>
        </is>
      </c>
      <c r="E2" s="4" t="inlineStr">
        <is>
          <t>Rolling</t>
        </is>
      </c>
      <c r="F2" s="4" t="inlineStr">
        <is>
          <t>Continuous admission with roughly monthly cut-offs (nothing is processed in July); the last 2026 cut-offs are 3 Nov and 1 Dec 2026. Salaried doctoral researcher positions are advertised and applied for separately</t>
        </is>
      </c>
      <c r="G2" s="4" t="inlineStr">
        <is>
          <t>Not stated</t>
        </is>
      </c>
      <c r="H2" s="4" t="inlineStr"/>
      <c r="I2" s="4" t="inlineStr">
        <is>
          <t>Not stated</t>
        </is>
      </c>
      <c r="J2" s="4" t="inlineStr">
        <is>
          <t>Not stated on the page checked</t>
        </is>
      </c>
      <c r="K2" s="4" t="inlineStr">
        <is>
          <t>Not stated</t>
        </is>
      </c>
      <c r="L2" s="4" t="inlineStr">
        <is>
          <t>Not stated</t>
        </is>
      </c>
      <c r="M2" s="4" t="inlineStr">
        <is>
          <t>92</t>
        </is>
      </c>
      <c r="N2" s="4" t="inlineStr">
        <is>
          <t>Yes</t>
        </is>
      </c>
      <c r="O2" s="4" t="inlineStr">
        <is>
          <t>India is on Aalto's list: an English-medium degree (at least a 3-year bachelor's or a 1-year master's), at least half completed in English while living in India, counts if the language is stated on the certificate or transcript</t>
        </is>
      </c>
      <c r="P2" s="4" t="inlineStr">
        <is>
          <t>Required</t>
        </is>
      </c>
      <c r="Q2" s="4" t="inlineStr">
        <is>
          <t>You must have a supervising professor in your intended research field before you submit the application</t>
        </is>
      </c>
      <c r="R2" s="4" t="inlineStr">
        <is>
          <t>Competitive</t>
        </is>
      </c>
      <c r="S2" s="4" t="inlineStr">
        <is>
          <t>Not automatic: fund the PhD through a salaried doctoral researcher position (advertised separately) or grants. A full-time study right needs funding secured for at least 6 months; unfunded part-time study is possible in some cases. No tuition fees</t>
        </is>
      </c>
      <c r="T2" s="4" t="inlineStr">
        <is>
          <t>Master's usually required</t>
        </is>
      </c>
      <c r="U2" s="4" t="inlineStr">
        <is>
          <t>Physics is one of the fields of the Aalto Doctoral Programme in Science (School of Science, e.g. Department of Applied Physics). There are two routes: get a salaried doctoral researcher position first and then apply for the study right, or apply for the study right with other funding. The language rules are labelled for 2026 admissions, and the TOEFL minimum is given only on the old 0-120 scale. Cut-off dates for 2027 were not yet published.</t>
        </is>
      </c>
      <c r="V2" s="5" t="inlineStr">
        <is>
          <t>https://www.aalto.fi/en/study-options/aalto-doctoral-programme-in-science-0</t>
        </is>
      </c>
      <c r="W2" s="4" t="inlineStr">
        <is>
          <t>2026-10-21</t>
        </is>
      </c>
    </row>
    <row r="3">
      <c r="A3" s="4" t="inlineStr">
        <is>
          <t>Boston University</t>
        </is>
      </c>
      <c r="B3" s="4" t="inlineStr">
        <is>
          <t>Boston University · Department of Physics</t>
        </is>
      </c>
      <c r="C3" s="4" t="inlineStr">
        <is>
          <t>USA</t>
        </is>
      </c>
      <c r="D3" s="4" t="inlineStr">
        <is>
          <t>Massachusetts</t>
        </is>
      </c>
      <c r="E3" s="6" t="n">
        <v>46371</v>
      </c>
      <c r="F3" s="4" t="inlineStr">
        <is>
          <t>December 15, 23:59 ET; all documents must be posted. Year inferred.</t>
        </is>
      </c>
      <c r="G3" s="4" t="n">
        <v>95</v>
      </c>
      <c r="H3" s="4" t="inlineStr">
        <is>
          <t>USD</t>
        </is>
      </c>
      <c r="I3" s="4" t="inlineStr">
        <is>
          <t>Domestic only</t>
        </is>
      </c>
      <c r="J3" s="4" t="inlineStr">
        <is>
          <t>Central office waivers are domestic-only; international applicants may ask the program directly</t>
        </is>
      </c>
      <c r="K3" s="4" t="inlineStr">
        <is>
          <t>Optional</t>
        </is>
      </c>
      <c r="L3" s="4" t="inlineStr">
        <is>
          <t>Recommended</t>
        </is>
      </c>
      <c r="M3" s="4" t="inlineStr">
        <is>
          <t>Not stated</t>
        </is>
      </c>
      <c r="N3" s="4" t="inlineStr">
        <is>
          <t>Not stated</t>
        </is>
      </c>
      <c r="O3" s="4" t="inlineStr">
        <is>
          <t>Not stated on the page checked</t>
        </is>
      </c>
      <c r="P3" s="4" t="inlineStr">
        <is>
          <t>Not stated</t>
        </is>
      </c>
      <c r="Q3" s="4" t="inlineStr">
        <is>
          <t>No pre-application supervisor requirement mentioned</t>
        </is>
      </c>
      <c r="R3" s="4" t="inlineStr">
        <is>
          <t>Typical</t>
        </is>
      </c>
      <c r="S3" s="4" t="inlineStr">
        <is>
          <t>RAs and TAs receive tuition, fees and basic medical insurance plus a stipend</t>
        </is>
      </c>
      <c r="T3" s="4" t="inlineStr">
        <is>
          <t>Not stated</t>
        </is>
      </c>
      <c r="U3" s="4" t="inlineStr">
        <is>
          <t>BU explicitly refuses hardship-based fee waivers for international applicants at the central level.</t>
        </is>
      </c>
      <c r="V3" s="5" t="inlineStr">
        <is>
          <t>https://www.bu.edu/physics/graduate-program/graduate-program-admissions/</t>
        </is>
      </c>
      <c r="W3" s="4" t="inlineStr">
        <is>
          <t>2026-10-21</t>
        </is>
      </c>
    </row>
    <row r="4">
      <c r="A4" s="4" t="inlineStr">
        <is>
          <t>Caltech</t>
        </is>
      </c>
      <c r="B4" s="4" t="inlineStr">
        <is>
          <t>California Institute of Technology · Department of Physics (PMA)</t>
        </is>
      </c>
      <c r="C4" s="4" t="inlineStr">
        <is>
          <t>USA</t>
        </is>
      </c>
      <c r="D4" s="4" t="inlineStr">
        <is>
          <t>California</t>
        </is>
      </c>
      <c r="E4" s="6" t="n">
        <v>46371</v>
      </c>
      <c r="F4" s="4" t="inlineStr">
        <is>
          <t>December 15 (catalog). Year inferred for Fall 2027.</t>
        </is>
      </c>
      <c r="G4" s="4" t="inlineStr">
        <is>
          <t>Not stated</t>
        </is>
      </c>
      <c r="H4" s="4" t="inlineStr"/>
      <c r="I4" s="4" t="inlineStr">
        <is>
          <t>Limited</t>
        </is>
      </c>
      <c r="J4" s="4" t="inlineStr">
        <is>
          <t>Waivers are requested inside the online application; eligibility rules are not stated on the department page</t>
        </is>
      </c>
      <c r="K4" s="4" t="inlineStr">
        <is>
          <t>Recommended</t>
        </is>
      </c>
      <c r="L4" s="4" t="inlineStr">
        <is>
          <t>Required</t>
        </is>
      </c>
      <c r="M4" s="4" t="inlineStr">
        <is>
          <t>Not stated</t>
        </is>
      </c>
      <c r="N4" s="4" t="inlineStr">
        <is>
          <t>Not stated</t>
        </is>
      </c>
      <c r="O4" s="4" t="inlineStr">
        <is>
          <t>Not stated on the page checked</t>
        </is>
      </c>
      <c r="P4" s="4" t="inlineStr">
        <is>
          <t>Not stated</t>
        </is>
      </c>
      <c r="Q4" s="4" t="inlineStr">
        <is>
          <t>No pre-application supervisor requirement mentioned</t>
        </is>
      </c>
      <c r="R4" s="4" t="inlineStr">
        <is>
          <t>Not stated</t>
        </is>
      </c>
      <c r="S4" s="4" t="inlineStr">
        <is>
          <t>Not stated on the page checked</t>
        </is>
      </c>
      <c r="T4" s="4" t="inlineStr">
        <is>
          <t>Not stated</t>
        </is>
      </c>
      <c r="U4" s="4" t="inlineStr">
        <is>
          <t>Astronomy faculty can supervise physics students and vice versa.</t>
        </is>
      </c>
      <c r="V4" s="5" t="inlineStr">
        <is>
          <t>https://physics.caltech.edu/academics/graduate-studies/information-for-applicants</t>
        </is>
      </c>
      <c r="W4" s="4" t="inlineStr">
        <is>
          <t>2026-10-21</t>
        </is>
      </c>
    </row>
    <row r="5">
      <c r="A5" s="4" t="inlineStr">
        <is>
          <t>Carleton University</t>
        </is>
      </c>
      <c r="B5" s="4" t="inlineStr">
        <is>
          <t>Carleton University · Department of Physics</t>
        </is>
      </c>
      <c r="C5" s="4" t="inlineStr">
        <is>
          <t>Canada</t>
        </is>
      </c>
      <c r="D5" s="4" t="inlineStr">
        <is>
          <t>Ontario</t>
        </is>
      </c>
      <c r="E5" s="6" t="n">
        <v>46402</v>
      </c>
      <c r="F5" s="4" t="inlineStr">
        <is>
          <t>January 15 (Fall entry); late applications considered if openings remain. Year inferred for Fall 2027.</t>
        </is>
      </c>
      <c r="G5" s="4" t="n">
        <v>125</v>
      </c>
      <c r="H5" s="4" t="inlineStr">
        <is>
          <t>CAD</t>
        </is>
      </c>
      <c r="I5" s="4" t="inlineStr">
        <is>
          <t>None</t>
        </is>
      </c>
      <c r="J5" s="4" t="inlineStr">
        <is>
          <t>Graduate application fees are not waived</t>
        </is>
      </c>
      <c r="K5" s="4" t="inlineStr">
        <is>
          <t>Not stated</t>
        </is>
      </c>
      <c r="L5" s="4" t="inlineStr">
        <is>
          <t>Not stated</t>
        </is>
      </c>
      <c r="M5" s="4" t="inlineStr">
        <is>
          <t>86</t>
        </is>
      </c>
      <c r="N5" s="4" t="inlineStr">
        <is>
          <t>No</t>
        </is>
      </c>
      <c r="O5" s="4" t="inlineStr">
        <is>
          <t>Exemption only for English-taught degrees from countries whose primary language is English (India does not qualify) or a recent Canadian degree; medium-of-instruction letters are explicitly not accepted</t>
        </is>
      </c>
      <c r="P5" s="4" t="inlineStr">
        <is>
          <t>Not stated</t>
        </is>
      </c>
      <c r="Q5" s="4" t="inlineStr">
        <is>
          <t>Not stated on the page checked</t>
        </is>
      </c>
      <c r="R5" s="4" t="inlineStr">
        <is>
          <t>Competitive</t>
        </is>
      </c>
      <c r="S5" s="4" t="inlineStr">
        <is>
          <t>University-level statement: applicants are automatically considered for admission funding (TA, research stipend, scholarships) and notified in the offer if eligible; no guaranteed minimum stated on the pages checked</t>
        </is>
      </c>
      <c r="T5" s="4" t="inlineStr">
        <is>
          <t>Master's usually required</t>
        </is>
      </c>
      <c r="U5" s="4" t="inlineStr">
        <is>
          <t>PhD streams: Particle Physics and Medical Physics (CAMPEP-accredited), run jointly with uOttawa through the Ottawa-Carleton Institute for Physics. The department site (physics.carleton.ca) returned errors on every fetch, so supervisor and GRE policy could not be checked.</t>
        </is>
      </c>
      <c r="V5" s="5" t="inlineStr">
        <is>
          <t>https://graduate.carleton.ca/program/physics-doctoral-programs/</t>
        </is>
      </c>
      <c r="W5" s="4" t="inlineStr">
        <is>
          <t>2026-10-21</t>
        </is>
      </c>
    </row>
    <row r="6">
      <c r="A6" s="4" t="inlineStr">
        <is>
          <t>Chalmers</t>
        </is>
      </c>
      <c r="B6" s="4" t="inlineStr">
        <is>
          <t>Chalmers University of Technology · Graduate School in Physics, Department of Physics and Astronomy</t>
        </is>
      </c>
      <c r="C6" s="4" t="inlineStr">
        <is>
          <t>Sweden</t>
        </is>
      </c>
      <c r="D6" s="4" t="inlineStr">
        <is>
          <t>Västra Götaland (Gothenburg)</t>
        </is>
      </c>
      <c r="E6" s="4" t="inlineStr">
        <is>
          <t>Per position</t>
        </is>
      </c>
      <c r="F6" s="4" t="inlineStr">
        <is>
          <t>No central deadline: doctoral positions are advertised under Vacant positions throughout the year, each with its own deadline</t>
        </is>
      </c>
      <c r="G6" s="4" t="n">
        <v>0</v>
      </c>
      <c r="H6" s="4" t="inlineStr"/>
      <c r="I6" s="4" t="inlineStr">
        <is>
          <t>No fee</t>
        </is>
      </c>
      <c r="J6" s="4" t="inlineStr">
        <is>
          <t>No fee to waive</t>
        </is>
      </c>
      <c r="K6" s="4" t="inlineStr">
        <is>
          <t>Not stated</t>
        </is>
      </c>
      <c r="L6" s="4" t="inlineStr">
        <is>
          <t>Not stated</t>
        </is>
      </c>
      <c r="M6" s="4" t="inlineStr">
        <is>
          <t>90</t>
        </is>
      </c>
      <c r="N6" s="4" t="inlineStr">
        <is>
          <t>Conditional</t>
        </is>
      </c>
      <c r="O6" s="4" t="inlineStr">
        <is>
          <t>Indian upper-secondary English can meet the requirement: CBSE (2008 onwards) or CISCE Class XII English grades, or an English-medium upper secondary certificate. The India page offers no degree-based route, so otherwise take a test</t>
        </is>
      </c>
      <c r="P6" s="4" t="inlineStr">
        <is>
          <t>Not stated</t>
        </is>
      </c>
      <c r="Q6" s="4" t="inlineStr">
        <is>
          <t>Not stated on the page checked</t>
        </is>
      </c>
      <c r="R6" s="4" t="inlineStr">
        <is>
          <t>Guaranteed</t>
        </is>
      </c>
      <c r="S6" s="4" t="inlineStr">
        <is>
          <t>Doctoral students are employed by Chalmers on a monthly salary (fixed-term, generally at most five years), with up to 20% teaching or departmental work</t>
        </is>
      </c>
      <c r="T6" s="4" t="inlineStr">
        <is>
          <t>Master's usually required</t>
        </is>
      </c>
      <c r="U6" s="4" t="inlineStr">
        <is>
          <t>The Graduate School in Physics is run by the Department of Physics and Astronomy. Its syllabus sections (including entry requirements) are collapsed on the page and did not appear in the text checked, so the rules above are Chalmers-wide. Licentiate after about two years; doctorate after four to five years.</t>
        </is>
      </c>
      <c r="V6" s="5" t="inlineStr">
        <is>
          <t>https://www.chalmers.se/en/research/doctoral-studies/graduate-schools/physics/</t>
        </is>
      </c>
      <c r="W6" s="4" t="inlineStr">
        <is>
          <t>2026-10-21</t>
        </is>
      </c>
    </row>
    <row r="7">
      <c r="A7" s="4" t="inlineStr">
        <is>
          <t>Columbia</t>
        </is>
      </c>
      <c r="B7" s="4" t="inlineStr">
        <is>
          <t>Columbia University · Department of Physics</t>
        </is>
      </c>
      <c r="C7" s="4" t="inlineStr">
        <is>
          <t>USA</t>
        </is>
      </c>
      <c r="D7" s="4" t="inlineStr">
        <is>
          <t>New York</t>
        </is>
      </c>
      <c r="E7" s="6" t="n">
        <v>46359</v>
      </c>
      <c r="F7" s="4" t="inlineStr">
        <is>
          <t>December 3, 2026 for Fall 2027 (early!)</t>
        </is>
      </c>
      <c r="G7" s="4" t="n">
        <v>120</v>
      </c>
      <c r="H7" s="4" t="inlineStr">
        <is>
          <t>USD</t>
        </is>
      </c>
      <c r="I7" s="4" t="inlineStr">
        <is>
          <t>Available</t>
        </is>
      </c>
      <c r="J7" s="4" t="inlineStr">
        <is>
          <t>GSAS considers waivers for financial need, personal hardship or other onerous circumstances</t>
        </is>
      </c>
      <c r="K7" s="4" t="inlineStr">
        <is>
          <t>Optional</t>
        </is>
      </c>
      <c r="L7" s="4" t="inlineStr">
        <is>
          <t>Optional</t>
        </is>
      </c>
      <c r="M7" s="4" t="inlineStr">
        <is>
          <t>Not stated</t>
        </is>
      </c>
      <c r="N7" s="4" t="inlineStr">
        <is>
          <t>Conditional</t>
        </is>
      </c>
      <c r="O7" s="4" t="inlineStr">
        <is>
          <t>Rule is based on the official language of your degree institution's country; English is an official language in India, so ask GSAS how this applies to you</t>
        </is>
      </c>
      <c r="P7" s="4" t="inlineStr">
        <is>
          <t>Not stated</t>
        </is>
      </c>
      <c r="Q7" s="4" t="inlineStr">
        <is>
          <t>No pre-application supervisor requirement mentioned</t>
        </is>
      </c>
      <c r="R7" s="4" t="inlineStr">
        <is>
          <t>Guaranteed</t>
        </is>
      </c>
      <c r="S7" s="4" t="inlineStr">
        <is>
          <t>Prevailing stipend plus tuition and fees for six years in good standing</t>
        </is>
      </c>
      <c r="T7" s="4" t="inlineStr">
        <is>
          <t>Not stated</t>
        </is>
      </c>
      <c r="U7" s="4" t="inlineStr">
        <is>
          <t>Three letters; personal statement. One of the earliest deadlines in this list.</t>
        </is>
      </c>
      <c r="V7" s="5" t="inlineStr">
        <is>
          <t>https://www.physics.columbia.edu/content/applying-columbia-physics-graduate-program</t>
        </is>
      </c>
      <c r="W7" s="4" t="inlineStr">
        <is>
          <t>2026-10-21</t>
        </is>
      </c>
    </row>
    <row r="8">
      <c r="A8" s="4" t="inlineStr">
        <is>
          <t>Cornell</t>
        </is>
      </c>
      <c r="B8" s="4" t="inlineStr">
        <is>
          <t>Cornell University · Department of Physics</t>
        </is>
      </c>
      <c r="C8" s="4" t="inlineStr">
        <is>
          <t>USA</t>
        </is>
      </c>
      <c r="D8" s="4" t="inlineStr">
        <is>
          <t>New York</t>
        </is>
      </c>
      <c r="E8" s="6" t="n">
        <v>46371</v>
      </c>
      <c r="F8" s="4" t="inlineStr">
        <is>
          <t>December 15: all materials incl. test scores must be received. Year inferred.</t>
        </is>
      </c>
      <c r="G8" s="4" t="n">
        <v>105</v>
      </c>
      <c r="H8" s="4" t="inlineStr">
        <is>
          <t>USD</t>
        </is>
      </c>
      <c r="I8" s="4" t="inlineStr">
        <is>
          <t>Available</t>
        </is>
      </c>
      <c r="J8" s="4" t="inlineStr">
        <is>
          <t>Can be requested for financial hardship or extenuating circumstances (Graduate School criteria)</t>
        </is>
      </c>
      <c r="K8" s="4" t="inlineStr">
        <is>
          <t>Not stated</t>
        </is>
      </c>
      <c r="L8" s="4" t="inlineStr">
        <is>
          <t>Required</t>
        </is>
      </c>
      <c r="M8" s="4" t="inlineStr">
        <is>
          <t>Sections</t>
        </is>
      </c>
      <c r="N8" s="4" t="inlineStr">
        <is>
          <t>Not stated</t>
        </is>
      </c>
      <c r="O8" s="4" t="inlineStr">
        <is>
          <t>Standing exemptions on the Graduate School site (not checked)</t>
        </is>
      </c>
      <c r="P8" s="4" t="inlineStr">
        <is>
          <t>Not stated</t>
        </is>
      </c>
      <c r="Q8" s="4" t="inlineStr">
        <is>
          <t>No pre-application supervisor requirement mentioned</t>
        </is>
      </c>
      <c r="R8" s="4" t="inlineStr">
        <is>
          <t>Guaranteed</t>
        </is>
      </c>
      <c r="S8" s="4" t="inlineStr">
        <is>
          <t>6 years of full support in good standing (fellowships, TA, RA)</t>
        </is>
      </c>
      <c r="T8" s="4" t="inlineStr">
        <is>
          <t>Direct from bachelor's</t>
        </is>
      </c>
      <c r="U8" s="4" t="inlineStr">
        <is>
          <t>Applied Physics (AEP) is a separate Cornell field with different GRE rules.</t>
        </is>
      </c>
      <c r="V8" s="5" t="inlineStr">
        <is>
          <t>https://physics.cornell.edu/prospective-graduate-students</t>
        </is>
      </c>
      <c r="W8" s="4" t="inlineStr">
        <is>
          <t>2026-10-21</t>
        </is>
      </c>
    </row>
    <row r="9">
      <c r="A9" s="4" t="inlineStr">
        <is>
          <t>Dalhousie University</t>
        </is>
      </c>
      <c r="B9" s="4" t="inlineStr">
        <is>
          <t>Dalhousie University · Department of Physics and Atmospheric Science</t>
        </is>
      </c>
      <c r="C9" s="4" t="inlineStr">
        <is>
          <t>Canada</t>
        </is>
      </c>
      <c r="D9" s="4" t="inlineStr">
        <is>
          <t>Nova Scotia</t>
        </is>
      </c>
      <c r="E9" s="6" t="n">
        <v>46478</v>
      </c>
      <c r="F9" s="4" t="inlineStr">
        <is>
          <t>Formal application: April 1 for non-Canadian applicants for September admission (FGS general deadline; Canadians June 1). Free department pre-application first, reviewed September 1 to April 30, so start well before. Year inferred for September 2027.</t>
        </is>
      </c>
      <c r="G9" s="4" t="n">
        <v>115</v>
      </c>
      <c r="H9" s="4" t="inlineStr">
        <is>
          <t>CAD</t>
        </is>
      </c>
      <c r="I9" s="4" t="inlineStr">
        <is>
          <t>Not stated</t>
        </is>
      </c>
      <c r="J9" s="4" t="inlineStr">
        <is>
          <t>Not stated on the page checked</t>
        </is>
      </c>
      <c r="K9" s="4" t="inlineStr">
        <is>
          <t>Not required</t>
        </is>
      </c>
      <c r="L9" s="4" t="inlineStr">
        <is>
          <t>Not required</t>
        </is>
      </c>
      <c r="M9" s="4" t="inlineStr">
        <is>
          <t>92</t>
        </is>
      </c>
      <c r="N9" s="4" t="inlineStr">
        <is>
          <t>Conditional</t>
        </is>
      </c>
      <c r="O9" s="4" t="inlineStr">
        <is>
          <t>Waiver can be requested (not automatic) if your degree is from a recognized university with English as the language of instruction in a country where English is an official language; English is an official language of India, but confirm the waiver with the program</t>
        </is>
      </c>
      <c r="P9" s="4" t="inlineStr">
        <is>
          <t>Required</t>
        </is>
      </c>
      <c r="Q9" s="4" t="inlineStr">
        <is>
          <t>Admission depends on finding a supervisor through the free pre-application/interview; the formal application is submitted only with a supervisor's support and names the supervisor</t>
        </is>
      </c>
      <c r="R9" s="4" t="inlineStr">
        <is>
          <t>Guaranteed</t>
        </is>
      </c>
      <c r="S9" s="4" t="inlineStr">
        <is>
          <t>Every full-time MSc/PhD student funded; for students of primary-appointment faculty, guaranteed at least CAD 2,000/month take-home on average (CAD 24,000/yr after tuition) and CAD 33,000/yr total; PhD support normally 4 years; internationals funded on the same terms</t>
        </is>
      </c>
      <c r="T9" s="4" t="inlineStr">
        <is>
          <t>Either</t>
        </is>
      </c>
      <c r="U9" s="4" t="inlineStr">
        <is>
          <t>Apply via a free department pre-application first; a professor interviews you and funding is fixed before the formal FGS application. International PhD tuition equals domestic. Department Graduate Scholarship (CAD 20,000/yr, GPA 3.7+) open to internationals.</t>
        </is>
      </c>
      <c r="V9" s="5" t="inlineStr">
        <is>
          <t>https://www.dal.ca/faculty/science/physics/graduate/apply.html</t>
        </is>
      </c>
      <c r="W9" s="4" t="inlineStr">
        <is>
          <t>2026-10-21</t>
        </is>
      </c>
    </row>
    <row r="10">
      <c r="A10" s="4" t="inlineStr">
        <is>
          <t>TU Delft</t>
        </is>
      </c>
      <c r="B10" s="4" t="inlineStr">
        <is>
          <t>Delft University of Technology · Faculty of Applied Sciences (TNW), applied physics departments</t>
        </is>
      </c>
      <c r="C10" s="4" t="inlineStr">
        <is>
          <t>Netherlands</t>
        </is>
      </c>
      <c r="D10" s="4" t="inlineStr">
        <is>
          <t>South Holland (Delft)</t>
        </is>
      </c>
      <c r="E10" s="4" t="inlineStr">
        <is>
          <t>Per position</t>
        </is>
      </c>
      <c r="F10" s="4" t="inlineStr">
        <is>
          <t>No central deadline: apply to a specific advertised PhD position (each vacancy has its own deadline)</t>
        </is>
      </c>
      <c r="G10" s="4" t="inlineStr">
        <is>
          <t>Not stated</t>
        </is>
      </c>
      <c r="H10" s="4" t="inlineStr"/>
      <c r="I10" s="4" t="inlineStr">
        <is>
          <t>Not stated</t>
        </is>
      </c>
      <c r="J10" s="4" t="inlineStr">
        <is>
          <t>Not stated on the pages checked</t>
        </is>
      </c>
      <c r="K10" s="4" t="inlineStr">
        <is>
          <t>Not stated</t>
        </is>
      </c>
      <c r="L10" s="4" t="inlineStr">
        <is>
          <t>Not stated</t>
        </is>
      </c>
      <c r="M10" s="4" t="inlineStr">
        <is>
          <t>100</t>
        </is>
      </c>
      <c r="N10" s="4" t="inlineStr">
        <is>
          <t>Yes</t>
        </is>
      </c>
      <c r="O10" s="4" t="inlineStr">
        <is>
          <t>In principle exempt with an English-taught master's degree; if your English is judged insufficient during selection you may be asked to take a placement test at TU Delft</t>
        </is>
      </c>
      <c r="P10" s="4" t="inlineStr">
        <is>
          <t>Required</t>
        </is>
      </c>
      <c r="Q10" s="4" t="inlineStr">
        <is>
          <t>You apply to a specific position and are employed in your supervisor's department; the application process includes a conversation with the professor</t>
        </is>
      </c>
      <c r="R10" s="4" t="inlineStr">
        <is>
          <t>Typical</t>
        </is>
      </c>
      <c r="S10" s="4" t="inlineStr">
        <is>
          <t>Regular PhD positions are four-year employment contracts with a salary under the Dutch universities' collective labour agreement; if no position is available you must find your own scholarship or grant</t>
        </is>
      </c>
      <c r="T10" s="4" t="inlineStr">
        <is>
          <t>Master's usually required</t>
        </is>
      </c>
      <c r="U10" s="4" t="inlineStr">
        <is>
          <t>The Faculty of Applied Sciences (TNW) houses the applied-physics departments (e.g. Quantum Nanoscience, Imaging Physics, Radiation Science &amp; Technology, Bionanoscience). TU Delft lists a PhD tuition fee of EUR 11,000 per PhD programme plus an annual bench fee. The bench fee is charged to the institute you work for, or to you if no institute funds you. Who pays is agreed at the start, and the faculty may waive either fee. Teaching is capped at 20% of the appointment.</t>
        </is>
      </c>
      <c r="V10" s="5" t="inlineStr">
        <is>
          <t>https://www.tudelft.nl/en/faculty-of-applied-sciences/research/phd</t>
        </is>
      </c>
      <c r="W10" s="4" t="inlineStr">
        <is>
          <t>2026-10-21</t>
        </is>
      </c>
    </row>
    <row r="11">
      <c r="A11" s="4" t="inlineStr">
        <is>
          <t>Durham</t>
        </is>
      </c>
      <c r="B11" s="4" t="inlineStr">
        <is>
          <t>Durham University · Department of Physics</t>
        </is>
      </c>
      <c r="C11" s="4" t="inlineStr">
        <is>
          <t>United Kingdom</t>
        </is>
      </c>
      <c r="D11" s="4" t="inlineStr">
        <is>
          <t>England</t>
        </is>
      </c>
      <c r="E11" s="6" t="n">
        <v>46371</v>
      </c>
      <c r="F11" s="4" t="inlineStr">
        <is>
          <t>Departmental deadline Dec 15, 2026: applications by then get full consideration for all scholarships and funding. Later applications are still considered, but may be eligible only for some scholarships. There is no set deadline for admission itself.</t>
        </is>
      </c>
      <c r="G11" s="4" t="inlineStr">
        <is>
          <t>Not stated</t>
        </is>
      </c>
      <c r="H11" s="4" t="inlineStr"/>
      <c r="I11" s="4" t="inlineStr">
        <is>
          <t>Not stated</t>
        </is>
      </c>
      <c r="J11" s="4" t="inlineStr">
        <is>
          <t>Not stated on the page checked</t>
        </is>
      </c>
      <c r="K11" s="4" t="inlineStr">
        <is>
          <t>Not stated</t>
        </is>
      </c>
      <c r="L11" s="4" t="inlineStr">
        <is>
          <t>Not stated</t>
        </is>
      </c>
      <c r="M11" s="4" t="inlineStr">
        <is>
          <t>4.5 (new scale)</t>
        </is>
      </c>
      <c r="N11" s="4" t="inlineStr">
        <is>
          <t>No</t>
        </is>
      </c>
      <c r="O11" s="4" t="inlineStr">
        <is>
          <t>Exemption needs at least 1 full academic year of a degree studied in the UK or another majority English-speaking country (within 2 years of the start), or a UK-degree-equivalent qualification from (or nationality of) a listed country. India is not on the list. Physics may interview you without a test certificate, but still requires one.</t>
        </is>
      </c>
      <c r="P11" s="4" t="inlineStr">
        <is>
          <t>Recommended</t>
        </is>
      </c>
      <c r="Q11" s="4" t="inlineStr">
        <is>
          <t>University guidance says to contact a potential supervisor before applying. Physics lets you apply to a research area and list the staff you would like to consider your application, and does not state that prior agreement is required.</t>
        </is>
      </c>
      <c r="R11" s="4" t="inlineStr">
        <is>
          <t>Competitive</t>
        </is>
      </c>
      <c r="S11" s="4" t="inlineStr">
        <is>
          <t>Funded studentships (UK Research Councils, external sponsors, Durham) are typically available in all research areas; apply by Dec 15, 2026 for full consideration for all scholarships and funding</t>
        </is>
      </c>
      <c r="T11" s="4" t="inlineStr">
        <is>
          <t>Either</t>
        </is>
      </c>
      <c r="U11" s="4" t="inlineStr">
        <is>
          <t>The department advises not submitting before mid-October because a new admissions system has just gone live. One application covers several projects or research areas.</t>
        </is>
      </c>
      <c r="V11" s="5" t="inlineStr">
        <is>
          <t>https://www.durham.ac.uk/departments/academic/physics/postgraduate-study/research-degrees/how-to-apply/</t>
        </is>
      </c>
      <c r="W11" s="4" t="inlineStr">
        <is>
          <t>2026-10-21</t>
        </is>
      </c>
    </row>
    <row r="12">
      <c r="A12" s="4" t="inlineStr">
        <is>
          <t>EPFL</t>
        </is>
      </c>
      <c r="B12" s="4" t="inlineStr">
        <is>
          <t>EPFL (École polytechnique fédérale de Lausanne) · Doctoral Program in Physics (EDPY)</t>
        </is>
      </c>
      <c r="C12" s="4" t="inlineStr">
        <is>
          <t>Switzerland</t>
        </is>
      </c>
      <c r="D12" s="4" t="inlineStr">
        <is>
          <t>Vaud (Lausanne)</t>
        </is>
      </c>
      <c r="E12" s="6" t="n">
        <v>46507</v>
      </c>
      <c r="F12" s="4" t="inlineStr">
        <is>
          <t>Two rounds a year: October 31 and April 30. Next: Oct 31, 2026 (imminent) and Apr 30, 2027. Complete files incl. 3 letters. Years inferred.</t>
        </is>
      </c>
      <c r="G12" s="4" t="n">
        <v>0</v>
      </c>
      <c r="H12" s="4" t="inlineStr"/>
      <c r="I12" s="4" t="inlineStr">
        <is>
          <t>No fee</t>
        </is>
      </c>
      <c r="J12" s="4" t="inlineStr">
        <is>
          <t>Not needed: no application fee</t>
        </is>
      </c>
      <c r="K12" s="4" t="inlineStr">
        <is>
          <t>Recommended</t>
        </is>
      </c>
      <c r="L12" s="4" t="inlineStr">
        <is>
          <t>Not stated</t>
        </is>
      </c>
      <c r="M12" s="4" t="inlineStr">
        <is>
          <t>Not stated</t>
        </is>
      </c>
      <c r="N12" s="4" t="inlineStr">
        <is>
          <t>Yes</t>
        </is>
      </c>
      <c r="O12" s="4" t="inlineStr">
        <is>
          <t>No English test is strictly required; proficiency in English is required and TOEFL is strongly recommended</t>
        </is>
      </c>
      <c r="P12" s="4" t="inlineStr">
        <is>
          <t>Required</t>
        </is>
      </c>
      <c r="Q12" s="4" t="inlineStr">
        <is>
          <t>Admission = eligible by committee AND a thesis advisor offers you a PhD position after interview; eligible files are shared with all thesis directors</t>
        </is>
      </c>
      <c r="R12" s="4" t="inlineStr">
        <is>
          <t>Guaranteed</t>
        </is>
      </c>
      <c r="S12" s="4" t="inlineStr">
        <is>
          <t>Enrolment requires secured funding; lab-appointed doctoral students get an employment contract</t>
        </is>
      </c>
      <c r="T12" s="4" t="inlineStr">
        <is>
          <t>Master's usually required</t>
        </is>
      </c>
      <c r="U12" s="4" t="inlineStr">
        <is>
          <t>French not required to start; visas/work permits take about 3 months after appointment.</t>
        </is>
      </c>
      <c r="V12" s="5" t="inlineStr">
        <is>
          <t>https://www.epfl.ch/education/phd/edpy-physics/edpy-how-to-apply/</t>
        </is>
      </c>
      <c r="W12" s="4" t="inlineStr">
        <is>
          <t>2026-10-21</t>
        </is>
      </c>
    </row>
    <row r="13">
      <c r="A13" s="4" t="inlineStr">
        <is>
          <t>ETH Zurich</t>
        </is>
      </c>
      <c r="B13" s="4" t="inlineStr">
        <is>
          <t>ETH Zurich · Department of Physics (D-PHYS)</t>
        </is>
      </c>
      <c r="C13" s="4" t="inlineStr">
        <is>
          <t>Switzerland</t>
        </is>
      </c>
      <c r="D13" s="4" t="inlineStr">
        <is>
          <t>Zurich</t>
        </is>
      </c>
      <c r="E13" s="4" t="inlineStr">
        <is>
          <t>Per position</t>
        </is>
      </c>
      <c r="F13" s="4" t="inlineStr">
        <is>
          <t>No central deadline: each professor recruits their own doctoral students; some posts are advertised as vacancies</t>
        </is>
      </c>
      <c r="G13" s="4" t="inlineStr">
        <is>
          <t>Not stated</t>
        </is>
      </c>
      <c r="H13" s="4" t="inlineStr"/>
      <c r="I13" s="4" t="inlineStr">
        <is>
          <t>Not stated</t>
        </is>
      </c>
      <c r="J13" s="4" t="inlineStr">
        <is>
          <t>Not stated on the page checked</t>
        </is>
      </c>
      <c r="K13" s="4" t="inlineStr">
        <is>
          <t>Not stated</t>
        </is>
      </c>
      <c r="L13" s="4" t="inlineStr">
        <is>
          <t>Not stated</t>
        </is>
      </c>
      <c r="M13" s="4" t="inlineStr">
        <is>
          <t>Not stated</t>
        </is>
      </c>
      <c r="N13" s="4" t="inlineStr">
        <is>
          <t>Not stated</t>
        </is>
      </c>
      <c r="O13" s="4" t="inlineStr">
        <is>
          <t>Not stated on the page checked; ask the professor</t>
        </is>
      </c>
      <c r="P13" s="4" t="inlineStr">
        <is>
          <t>Required</t>
        </is>
      </c>
      <c r="Q13" s="4" t="inlineStr">
        <is>
          <t>A professor must agree to supervise you; contact professorships directly (the Doctoral Administration does not match candidates)</t>
        </is>
      </c>
      <c r="R13" s="4" t="inlineStr">
        <is>
          <t>Typical</t>
        </is>
      </c>
      <c r="S13" s="4" t="inlineStr">
        <is>
          <t>With few exceptions doctorates are linked to a position (employment) at ETH or in the ETH Domain</t>
        </is>
      </c>
      <c r="T13" s="4" t="inlineStr">
        <is>
          <t>Not stated</t>
        </is>
      </c>
      <c r="U13" s="4" t="inlineStr">
        <is>
          <t>Individual doctorate model: no overarching doctoral school. See the AVETH survival guide linked from the page.</t>
        </is>
      </c>
      <c r="V13" s="5" t="inlineStr">
        <is>
          <t>https://ethz.ch/en/doctorate/finding-a-place.html</t>
        </is>
      </c>
      <c r="W13" s="4" t="inlineStr">
        <is>
          <t>2026-10-21</t>
        </is>
      </c>
    </row>
    <row r="14">
      <c r="A14" s="4" t="inlineStr">
        <is>
          <t>Georgia Tech</t>
        </is>
      </c>
      <c r="B14" s="4" t="inlineStr">
        <is>
          <t>Georgia Institute of Technology · School of Physics</t>
        </is>
      </c>
      <c r="C14" s="4" t="inlineStr">
        <is>
          <t>USA</t>
        </is>
      </c>
      <c r="D14" s="4" t="inlineStr">
        <is>
          <t>Georgia</t>
        </is>
      </c>
      <c r="E14" s="6" t="n">
        <v>46371</v>
      </c>
      <c r="F14" s="4" t="inlineStr">
        <is>
          <t>December 15. Year inferred for Fall 2027.</t>
        </is>
      </c>
      <c r="G14" s="4" t="n">
        <v>105</v>
      </c>
      <c r="H14" s="4" t="inlineStr">
        <is>
          <t>USD</t>
        </is>
      </c>
      <c r="I14" s="4" t="inlineStr">
        <is>
          <t>Limited</t>
        </is>
      </c>
      <c r="J14" s="4" t="inlineStr">
        <is>
          <t>Institute waivers for outstanding undergraduate achievement or recruitment events; internationals must submit ALL materials (incl. English scores) before requesting</t>
        </is>
      </c>
      <c r="K14" s="4" t="inlineStr">
        <is>
          <t>Not required</t>
        </is>
      </c>
      <c r="L14" s="4" t="inlineStr">
        <is>
          <t>Not required</t>
        </is>
      </c>
      <c r="M14" s="4" t="inlineStr">
        <is>
          <t>106</t>
        </is>
      </c>
      <c r="N14" s="4" t="inlineStr">
        <is>
          <t>No</t>
        </is>
      </c>
      <c r="O14" s="4" t="inlineStr">
        <is>
          <t>All applicants must demonstrate English proficiency at application, regardless of citizenship</t>
        </is>
      </c>
      <c r="P14" s="4" t="inlineStr">
        <is>
          <t>Not stated</t>
        </is>
      </c>
      <c r="Q14" s="4" t="inlineStr">
        <is>
          <t>No pre-application supervisor requirement mentioned</t>
        </is>
      </c>
      <c r="R14" s="4" t="inlineStr">
        <is>
          <t>Not stated</t>
        </is>
      </c>
      <c r="S14" s="4" t="inlineStr">
        <is>
          <t>PhD support terms not stated (MS students get no support)</t>
        </is>
      </c>
      <c r="T14" s="4" t="inlineStr">
        <is>
          <t>Direct from bachelor's</t>
        </is>
      </c>
      <c r="U14" s="4" t="inlineStr">
        <is>
          <t>Very high English-test thresholds: plan test dates early.</t>
        </is>
      </c>
      <c r="V14" s="5" t="inlineStr">
        <is>
          <t>https://physics.gatech.edu/academics/graduate/admissions-info</t>
        </is>
      </c>
      <c r="W14" s="4" t="inlineStr">
        <is>
          <t>2026-10-21</t>
        </is>
      </c>
    </row>
    <row r="15">
      <c r="A15" s="4" t="inlineStr">
        <is>
          <t>Harvard University</t>
        </is>
      </c>
      <c r="B15" s="4" t="inlineStr">
        <is>
          <t>Harvard University · Department of Physics (Harvard Kenneth C. Griffin GSAS)</t>
        </is>
      </c>
      <c r="C15" s="4" t="inlineStr">
        <is>
          <t>USA</t>
        </is>
      </c>
      <c r="D15" s="4" t="inlineStr">
        <is>
          <t>Massachusetts</t>
        </is>
      </c>
      <c r="E15" s="6" t="n">
        <v>46371</v>
      </c>
      <c r="F15" s="4" t="inlineStr">
        <is>
          <t>December 15, 2026 at 05:00 pm (PhD)</t>
        </is>
      </c>
      <c r="G15" s="4" t="n">
        <v>105</v>
      </c>
      <c r="H15" s="4" t="inlineStr">
        <is>
          <t>USD</t>
        </is>
      </c>
      <c r="I15" s="4" t="inlineStr">
        <is>
          <t>Not stated</t>
        </is>
      </c>
      <c r="J15" s="4" t="inlineStr">
        <is>
          <t>A waiver exists; eligibility is decided by questions inside the application fee section. Whether international applicants qualify is not stated.</t>
        </is>
      </c>
      <c r="K15" s="4" t="inlineStr">
        <is>
          <t>Optional</t>
        </is>
      </c>
      <c r="L15" s="4" t="inlineStr">
        <is>
          <t>Required</t>
        </is>
      </c>
      <c r="M15" s="4" t="inlineStr">
        <is>
          <t>95</t>
        </is>
      </c>
      <c r="N15" s="4" t="inlineStr">
        <is>
          <t>Yes</t>
        </is>
      </c>
      <c r="O15" s="4" t="inlineStr">
        <is>
          <t>Exempt if your undergraduate degree is from an institution where English is the primary language of instruction; a master's or other graduate degree does not count</t>
        </is>
      </c>
      <c r="P15" s="4" t="inlineStr">
        <is>
          <t>Not stated</t>
        </is>
      </c>
      <c r="Q15" s="4" t="inlineStr">
        <is>
          <t>No pre-application supervisor requirement mentioned</t>
        </is>
      </c>
      <c r="R15" s="4" t="inlineStr">
        <is>
          <t>Guaranteed</t>
        </is>
      </c>
      <c r="S15" s="4" t="inlineStr">
        <is>
          <t>Guaranteed funding for the first five years for all PhD students</t>
        </is>
      </c>
      <c r="T15" s="4" t="inlineStr">
        <is>
          <t>Direct from bachelor's</t>
        </is>
      </c>
      <c r="U15" s="4" t="inlineStr">
        <is>
          <t>Department site (physics.harvard.edu) blocked automated fetches (403), so facts come from Harvard Griffin GSAS pages. GSAS accepts up to three applications per year to different programs, each with its own fee.</t>
        </is>
      </c>
      <c r="V15" s="5" t="inlineStr">
        <is>
          <t>https://gsas.harvard.edu/program/physics</t>
        </is>
      </c>
      <c r="W15" s="4" t="inlineStr">
        <is>
          <t>2026-10-21</t>
        </is>
      </c>
    </row>
    <row r="16">
      <c r="A16" s="4" t="inlineStr">
        <is>
          <t>Heidelberg (HGSFP)</t>
        </is>
      </c>
      <c r="B16" s="4" t="inlineStr">
        <is>
          <t>Heidelberg University · Heidelberg Graduate School for Physics (HGSFP)</t>
        </is>
      </c>
      <c r="C16" s="4" t="inlineStr">
        <is>
          <t>Germany</t>
        </is>
      </c>
      <c r="D16" s="4" t="inlineStr">
        <is>
          <t>Baden-Württemberg</t>
        </is>
      </c>
      <c r="E16" s="6" t="n">
        <v>46327</v>
      </c>
      <c r="F16" s="4" t="inlineStr">
        <is>
          <t>Application portal deadline November 1 (for international students and anyone without prior funding). Year inferred: Nov 1, 2026.</t>
        </is>
      </c>
      <c r="G16" s="4" t="inlineStr">
        <is>
          <t>Not stated</t>
        </is>
      </c>
      <c r="H16" s="4" t="inlineStr"/>
      <c r="I16" s="4" t="inlineStr">
        <is>
          <t>Not stated</t>
        </is>
      </c>
      <c r="J16" s="4" t="inlineStr">
        <is>
          <t>Not stated on the pages checked</t>
        </is>
      </c>
      <c r="K16" s="4" t="inlineStr">
        <is>
          <t>Not stated</t>
        </is>
      </c>
      <c r="L16" s="4" t="inlineStr">
        <is>
          <t>Not stated</t>
        </is>
      </c>
      <c r="M16" s="4" t="inlineStr">
        <is>
          <t>Not stated</t>
        </is>
      </c>
      <c r="N16" s="4" t="inlineStr">
        <is>
          <t>Not stated</t>
        </is>
      </c>
      <c r="O16" s="4" t="inlineStr">
        <is>
          <t>Not stated on the pages checked</t>
        </is>
      </c>
      <c r="P16" s="4" t="inlineStr">
        <is>
          <t>Not required</t>
        </is>
      </c>
      <c r="Q16" s="4" t="inlineStr">
        <is>
          <t>Two routes: the web portal (international students, or anyone without funding) or direct application with an advisor and funding already arranged</t>
        </is>
      </c>
      <c r="R16" s="4" t="inlineStr">
        <is>
          <t>Not stated</t>
        </is>
      </c>
      <c r="S16" s="4" t="inlineStr">
        <is>
          <t>The portal route is for applicants without prior financial support; funding terms are not stated on the pages checked</t>
        </is>
      </c>
      <c r="T16" s="4" t="inlineStr">
        <is>
          <t>Master's usually required</t>
        </is>
      </c>
      <c r="U16" s="4" t="inlineStr">
        <is>
          <t>Degree awarded: Dr. rer. nat.</t>
        </is>
      </c>
      <c r="V16" s="5" t="inlineStr">
        <is>
          <t>https://hgsfp.physik.uni-heidelberg.de/howtoapply#start</t>
        </is>
      </c>
      <c r="W16" s="4" t="inlineStr">
        <is>
          <t>2026-10-21</t>
        </is>
      </c>
    </row>
    <row r="17">
      <c r="A17" s="4" t="inlineStr">
        <is>
          <t>IMPRS Astronomy (Heidelberg)</t>
        </is>
      </c>
      <c r="B17" s="4" t="inlineStr">
        <is>
          <t>Heidelberg University and Max Planck Institute for Astronomy (MPIA) · IMPRS for Astronomy and Cosmic Physics (IMPRS-HD)</t>
        </is>
      </c>
      <c r="C17" s="4" t="inlineStr">
        <is>
          <t>Germany</t>
        </is>
      </c>
      <c r="D17" s="4" t="inlineStr">
        <is>
          <t>Baden-Württemberg</t>
        </is>
      </c>
      <c r="E17" s="6" t="n">
        <v>46329</v>
      </c>
      <c r="F17" s="4" t="inlineStr">
        <is>
          <t>Nov 3, 2026, 14:00 CET for fall 2027 entry; the application and both reference letters must arrive by then. Interviews Feb 1–5, 2027</t>
        </is>
      </c>
      <c r="G17" s="4" t="inlineStr">
        <is>
          <t>Not stated</t>
        </is>
      </c>
      <c r="H17" s="4" t="inlineStr"/>
      <c r="I17" s="4" t="inlineStr">
        <is>
          <t>Not stated</t>
        </is>
      </c>
      <c r="J17" s="4" t="inlineStr">
        <is>
          <t>Not stated on the page checked</t>
        </is>
      </c>
      <c r="K17" s="4" t="inlineStr">
        <is>
          <t>Not stated</t>
        </is>
      </c>
      <c r="L17" s="4" t="inlineStr">
        <is>
          <t>Not stated</t>
        </is>
      </c>
      <c r="M17" s="4" t="inlineStr">
        <is>
          <t>Not stated</t>
        </is>
      </c>
      <c r="N17" s="4" t="inlineStr">
        <is>
          <t>Yes</t>
        </is>
      </c>
      <c r="O17" s="4" t="inlineStr">
        <is>
          <t>No English test required; communication skills are checked at interview (optional proof may help non-native speakers)</t>
        </is>
      </c>
      <c r="P17" s="4" t="inlineStr">
        <is>
          <t>Not required</t>
        </is>
      </c>
      <c r="Q17" s="4" t="inlineStr">
        <is>
          <t>A central committee screens applications; shortlisted files go to all potential supervisors and an interested supervisor triggers an interview. The project supervisor makes the final offer</t>
        </is>
      </c>
      <c r="R17" s="4" t="inlineStr">
        <is>
          <t>Guaranteed</t>
        </is>
      </c>
      <c r="S17" s="4" t="inlineStr">
        <is>
          <t>Official offers come with funding, typically a 3+1-year contract; MSc holders get about EUR 1,800–2,000 net/month (amount and terms depend on the funding source)</t>
        </is>
      </c>
      <c r="T17" s="4" t="inlineStr">
        <is>
          <t>Master's usually required</t>
        </is>
      </c>
      <c r="U17" s="4" t="inlineStr">
        <is>
          <t>Dr. rer. nat. in astrophysics; six Heidelberg institutes (MPIA, MPIK, ARI, LSW, ITA, HITS). Admitted students register with the Department of Physics and Astronomy via HGSFP. Use reference number IMPRS2027 in the application system. Germany requires a grade of 2.0 or better (about B+).</t>
        </is>
      </c>
      <c r="V17" s="5" t="inlineStr">
        <is>
          <t>https://www.imprs-hd.mpg.de/3192/Application</t>
        </is>
      </c>
      <c r="W17" s="4" t="inlineStr">
        <is>
          <t>2026-10-21</t>
        </is>
      </c>
    </row>
    <row r="18">
      <c r="A18" s="4" t="inlineStr">
        <is>
          <t>ICFO (Barcelona)</t>
        </is>
      </c>
      <c r="B18" s="4" t="inlineStr">
        <is>
          <t>ICFO – The Institute of Photonic Sciences · PhD in Photonics (with UPC Doctoral School)</t>
        </is>
      </c>
      <c r="C18" s="4" t="inlineStr">
        <is>
          <t>Spain</t>
        </is>
      </c>
      <c r="D18" s="4" t="inlineStr">
        <is>
          <t>Catalonia (Castelldefels, Barcelona)</t>
        </is>
      </c>
      <c r="E18" s="4" t="inlineStr">
        <is>
          <t>Per position</t>
        </is>
      </c>
      <c r="F18" s="4" t="inlineStr">
        <is>
          <t>Apply only through calls/openings on ICFOjobs, each with its own deadline. No PhD call was open on 2026-10-21; candidates may contact group leaders meanwhile.</t>
        </is>
      </c>
      <c r="G18" s="4" t="inlineStr">
        <is>
          <t>Not stated</t>
        </is>
      </c>
      <c r="H18" s="4" t="inlineStr"/>
      <c r="I18" s="4" t="inlineStr">
        <is>
          <t>Not stated</t>
        </is>
      </c>
      <c r="J18" s="4" t="inlineStr">
        <is>
          <t>Not stated on the page checked</t>
        </is>
      </c>
      <c r="K18" s="4" t="inlineStr">
        <is>
          <t>Not stated</t>
        </is>
      </c>
      <c r="L18" s="4" t="inlineStr">
        <is>
          <t>Not stated</t>
        </is>
      </c>
      <c r="M18" s="4" t="inlineStr">
        <is>
          <t>Not stated</t>
        </is>
      </c>
      <c r="N18" s="4" t="inlineStr">
        <is>
          <t>Not stated</t>
        </is>
      </c>
      <c r="O18" s="4" t="inlineStr">
        <is>
          <t>No English test or waiver rule stated on the page checked</t>
        </is>
      </c>
      <c r="P18" s="4" t="inlineStr">
        <is>
          <t>Required</t>
        </is>
      </c>
      <c r="Q18" s="4" t="inlineStr">
        <is>
          <t>Admission needs a pass from the admissions committee after interview AND an offer from at least one host research group with confirmed fellowship funding</t>
        </is>
      </c>
      <c r="R18" s="4" t="inlineStr">
        <is>
          <t>Guaranteed</t>
        </is>
      </c>
      <c r="S18" s="4" t="inlineStr">
        <is>
          <t>All admitted students are fully funded through (competitive) fellowships for the whole PhD; fellowships cover a 6-month trainee period plus a 4-year PhD period</t>
        </is>
      </c>
      <c r="T18" s="4" t="inlineStr">
        <is>
          <t>Master's usually required</t>
        </is>
      </c>
      <c r="U18" s="4" t="inlineStr">
        <is>
          <t>Photonics PhD awarded with UPC. Selection: eligibility and admissibility checks, committee evaluation, on-site interviews; under 10% of applicants admitted. Applicants who already hold a PhD are not eligible. Self-funded or external fellowships (e.g. LaCaixa INPhINIT) are also possible.</t>
        </is>
      </c>
      <c r="V18" s="5" t="inlineStr">
        <is>
          <t>https://www.icfo.eu/studies/phd-program/</t>
        </is>
      </c>
      <c r="W18" s="4" t="inlineStr">
        <is>
          <t>2026-10-21</t>
        </is>
      </c>
    </row>
    <row r="19">
      <c r="A19" s="4" t="inlineStr">
        <is>
          <t>Imperial College London</t>
        </is>
      </c>
      <c r="B19" s="4" t="inlineStr">
        <is>
          <t>Imperial College London · Department of Physics</t>
        </is>
      </c>
      <c r="C19" s="4" t="inlineStr">
        <is>
          <t>United Kingdom</t>
        </is>
      </c>
      <c r="D19" s="4" t="inlineStr">
        <is>
          <t>England</t>
        </is>
      </c>
      <c r="E19" s="6" t="n">
        <v>46328</v>
      </c>
      <c r="F19" s="4" t="inlineStr">
        <is>
          <t>President's PhD Scholarship (college-wide, open to all nationalities) rounds: apply by Nov 2, 2026, Jan 11, 2027 or Mar 1, 2027 (23:59 UK time). Physics accepts PhD applications all year; the Theory group lists a Feb 1 deadline 'each year' (shown with the 2026 date).</t>
        </is>
      </c>
      <c r="G19" s="4" t="n">
        <v>0</v>
      </c>
      <c r="H19" s="4" t="inlineStr"/>
      <c r="I19" s="4" t="inlineStr">
        <is>
          <t>No fee</t>
        </is>
      </c>
      <c r="J19" s="4" t="inlineStr">
        <is>
          <t>PhD applications carry no application fee, so no waiver is needed</t>
        </is>
      </c>
      <c r="K19" s="4" t="inlineStr">
        <is>
          <t>Not stated</t>
        </is>
      </c>
      <c r="L19" s="4" t="inlineStr">
        <is>
          <t>Not stated</t>
        </is>
      </c>
      <c r="M19" s="4" t="inlineStr">
        <is>
          <t>Not stated</t>
        </is>
      </c>
      <c r="N19" s="4" t="inlineStr">
        <is>
          <t>No</t>
        </is>
      </c>
      <c r="O19" s="4" t="inlineStr">
        <is>
          <t>Exempt only with a UK-degree-equivalent qualification from a listed country (Australia, Canada, Guyana, Ireland, Malta, New Zealand, South Africa, UK, USA, West Indies); India is not listed</t>
        </is>
      </c>
      <c r="P19" s="4" t="inlineStr">
        <is>
          <t>Not required</t>
        </is>
      </c>
      <c r="Q19" s="4" t="inlineStr">
        <is>
          <t>Not needed before applying: the Theory group says you need not contact a supervisor, and the Matter community considers you for all available projects. Naming a preferred supervisor helps route your application (Light community). Exception: President's PhD Scholarship applicants must already have a supervisor who has agreed to supervise them.</t>
        </is>
      </c>
      <c r="R19" s="4" t="inlineStr">
        <is>
          <t>Competitive</t>
        </is>
      </c>
      <c r="S19" s="4" t="inlineStr">
        <is>
          <t>A limited number of fully funded studentships (fees and living costs). Studentships for overseas applicants are very restricted: most overseas students bring home-country scholarships or self-fund (Matter community page). President's PhD Scholarships are open to all nationalities but very competitive.</t>
        </is>
      </c>
      <c r="T19" s="4" t="inlineStr">
        <is>
          <t>Direct from bachelor's</t>
        </is>
      </c>
      <c r="U19" s="4" t="inlineStr">
        <is>
          <t>There is no single Physics PhD course page; details come from the research-community pages (Light, Matter, Theory), and several still show 2026-cycle dates. Imperial's English levels are TOEFL 92 (Standard) or 100 (Higher), or 4.5/5.0 on the new scale.</t>
        </is>
      </c>
      <c r="V19" s="5" t="inlineStr">
        <is>
          <t>https://www.imperial.ac.uk/natural-sciences/departments/physics/students/postgraduate-admissions/phd-opportunities/</t>
        </is>
      </c>
      <c r="W19" s="4" t="inlineStr">
        <is>
          <t>2026-10-21</t>
        </is>
      </c>
    </row>
    <row r="20">
      <c r="A20" s="4" t="inlineStr">
        <is>
          <t>Indiana University Bloomington</t>
        </is>
      </c>
      <c r="B20" s="4" t="inlineStr">
        <is>
          <t>Indiana University Bloomington · Department of Physics</t>
        </is>
      </c>
      <c r="C20" s="4" t="inlineStr">
        <is>
          <t>USA</t>
        </is>
      </c>
      <c r="D20" s="4" t="inlineStr">
        <is>
          <t>Indiana</t>
        </is>
      </c>
      <c r="E20" s="6" t="n">
        <v>46371</v>
      </c>
      <c r="F20" s="4" t="inlineStr">
        <is>
          <t>December 15 (year inferred); international documents must be received by then. Later applications considered only if positions remain. Dept also calls Dec 15 the priority date.</t>
        </is>
      </c>
      <c r="G20" s="4" t="n">
        <v>70</v>
      </c>
      <c r="H20" s="4" t="inlineStr">
        <is>
          <t>USD</t>
        </is>
      </c>
      <c r="I20" s="4" t="inlineStr">
        <is>
          <t>None</t>
        </is>
      </c>
      <c r="J20" s="4" t="inlineStr">
        <is>
          <t>Department states no fee waivers are granted</t>
        </is>
      </c>
      <c r="K20" s="4" t="inlineStr">
        <is>
          <t>Optional</t>
        </is>
      </c>
      <c r="L20" s="4" t="inlineStr">
        <is>
          <t>Recommended</t>
        </is>
      </c>
      <c r="M20" s="4" t="inlineStr">
        <is>
          <t>80</t>
        </is>
      </c>
      <c r="N20" s="4" t="inlineStr">
        <is>
          <t>No</t>
        </is>
      </c>
      <c r="O20" s="4" t="inlineStr">
        <is>
          <t>No exemption route shown for graduate applicants: non-native speakers may be required to test regardless of where educated, and all non-native speakers seeking any financial aid must submit TOEFL/IELTS/Duolingo</t>
        </is>
      </c>
      <c r="P20" s="4" t="inlineStr">
        <is>
          <t>Not stated</t>
        </is>
      </c>
      <c r="Q20" s="4" t="inlineStr">
        <is>
          <t>Not stated on the page checked</t>
        </is>
      </c>
      <c r="R20" s="4" t="inlineStr">
        <is>
          <t>Typical</t>
        </is>
      </c>
      <c r="S20" s="4" t="inlineStr">
        <is>
          <t>PhD package typically provides full funding (TA/RA stipend plus tuition waiver covering most tuition)</t>
        </is>
      </c>
      <c r="T20" s="4" t="inlineStr">
        <is>
          <t>Not stated</t>
        </is>
      </c>
      <c r="U20" s="4" t="inlineStr">
        <is>
          <t>Domestic-applications page lists graduation from a recognized four-year college and GPA 3.0 on transcripts. Separate Astrophysics, Chemical Physics and Mathematical Physics PhDs exist.</t>
        </is>
      </c>
      <c r="V20" s="5" t="inlineStr">
        <is>
          <t>https://physics.indiana.edu/graduate/how-to-apply/international-applications.html</t>
        </is>
      </c>
      <c r="W20" s="4" t="inlineStr">
        <is>
          <t>2026-10-21</t>
        </is>
      </c>
    </row>
    <row r="21">
      <c r="A21" s="4" t="inlineStr">
        <is>
          <t>Johns Hopkins University</t>
        </is>
      </c>
      <c r="B21" s="4" t="inlineStr">
        <is>
          <t>Johns Hopkins University · William H. Miller III Department of Physics &amp; Astronomy</t>
        </is>
      </c>
      <c r="C21" s="4" t="inlineStr">
        <is>
          <t>USA</t>
        </is>
      </c>
      <c r="D21" s="4" t="inlineStr">
        <is>
          <t>Maryland</t>
        </is>
      </c>
      <c r="E21" s="6" t="n">
        <v>46371</v>
      </c>
      <c r="F21" s="4" t="inlineStr">
        <is>
          <t>December 15 preceding September entry; year inferred. Vivien Thomas Scholars Initiative applicants must submit by Dec 1.</t>
        </is>
      </c>
      <c r="G21" s="4" t="n">
        <v>75</v>
      </c>
      <c r="H21" s="4" t="inlineStr">
        <is>
          <t>USD</t>
        </is>
      </c>
      <c r="I21" s="4" t="inlineStr">
        <is>
          <t>Not stated</t>
        </is>
      </c>
      <c r="J21" s="4" t="inlineStr">
        <is>
          <t>Page says the fee may be waived but gives no criteria; international eligibility not stated (JHU graduate admissions site blocked automated fetches)</t>
        </is>
      </c>
      <c r="K21" s="4" t="inlineStr">
        <is>
          <t>Optional</t>
        </is>
      </c>
      <c r="L21" s="4" t="inlineStr">
        <is>
          <t>Optional</t>
        </is>
      </c>
      <c r="M21" s="4" t="inlineStr">
        <is>
          <t>100</t>
        </is>
      </c>
      <c r="N21" s="4" t="inlineStr">
        <is>
          <t>Not stated</t>
        </is>
      </c>
      <c r="O21" s="4" t="inlineStr">
        <is>
          <t>Page requires TOEFL or IELTS for international students; exemption rules not shown on the page checked</t>
        </is>
      </c>
      <c r="P21" s="4" t="inlineStr">
        <is>
          <t>Not stated</t>
        </is>
      </c>
      <c r="Q21" s="4" t="inlineStr">
        <is>
          <t>No pre-application supervisor requirement mentioned</t>
        </is>
      </c>
      <c r="R21" s="4" t="inlineStr">
        <is>
          <t>Guaranteed</t>
        </is>
      </c>
      <c r="S21" s="4" t="inlineStr">
        <is>
          <t>All graduate students are appointed as TAs or RAs, which provide tuition, stipend and benefits</t>
        </is>
      </c>
      <c r="T21" s="4" t="inlineStr">
        <is>
          <t>Direct from bachelor's</t>
        </is>
      </c>
      <c r="U21" s="4" t="inlineStr">
        <is>
          <t>JHU graduate admissions and Krieger school sites blocked automated fetches (403). Admitted PhD students can apply for a $1,500 need-based relocation grant.</t>
        </is>
      </c>
      <c r="V21" s="5" t="inlineStr">
        <is>
          <t>https://physics-astronomy.jhu.edu/graduate/admissions/</t>
        </is>
      </c>
      <c r="W21" s="4" t="inlineStr">
        <is>
          <t>2026-10-21</t>
        </is>
      </c>
    </row>
    <row r="22">
      <c r="A22" s="4" t="inlineStr">
        <is>
          <t>KTH Stockholm</t>
        </is>
      </c>
      <c r="B22" s="4" t="inlineStr">
        <is>
          <t>KTH Royal Institute of Technology · Doctoral Programme in Physics, School of Engineering Sciences (SCI)</t>
        </is>
      </c>
      <c r="C22" s="4" t="inlineStr">
        <is>
          <t>Sweden</t>
        </is>
      </c>
      <c r="D22" s="4" t="inlineStr">
        <is>
          <t>Stockholm</t>
        </is>
      </c>
      <c r="E22" s="4" t="inlineStr">
        <is>
          <t>Per position</t>
        </is>
      </c>
      <c r="F22" s="4" t="inlineStr">
        <is>
          <t>No central deadline: apply to an advertised doctoral position; KTH announces positions nine times a year (Feb-Jun, Sep-Dec), each with its own deadline</t>
        </is>
      </c>
      <c r="G22" s="4" t="inlineStr">
        <is>
          <t>Not stated</t>
        </is>
      </c>
      <c r="H22" s="4" t="inlineStr"/>
      <c r="I22" s="4" t="inlineStr">
        <is>
          <t>Not stated</t>
        </is>
      </c>
      <c r="J22" s="4" t="inlineStr">
        <is>
          <t>Not stated on the page checked</t>
        </is>
      </c>
      <c r="K22" s="4" t="inlineStr">
        <is>
          <t>Not stated</t>
        </is>
      </c>
      <c r="L22" s="4" t="inlineStr">
        <is>
          <t>Not stated</t>
        </is>
      </c>
      <c r="M22" s="4" t="inlineStr">
        <is>
          <t>90</t>
        </is>
      </c>
      <c r="N22" s="4" t="inlineStr">
        <is>
          <t>Conditional</t>
        </is>
      </c>
      <c r="O22" s="4" t="inlineStr">
        <is>
          <t>Indian upper-secondary English can meet the requirement: CBSE (2008 onwards) or CISCE Class XII English grades, or an English-medium upper secondary certificate. The India page offers no degree-based route, so otherwise take a test</t>
        </is>
      </c>
      <c r="P22" s="4" t="inlineStr">
        <is>
          <t>Required</t>
        </is>
      </c>
      <c r="Q22" s="4" t="inlineStr">
        <is>
          <t>You apply to a specific advertised position; the final admission decision is made by the head of school in consultation with the intended supervisors</t>
        </is>
      </c>
      <c r="R22" s="4" t="inlineStr">
        <is>
          <t>Guaranteed</t>
        </is>
      </c>
      <c r="S22" s="4" t="inlineStr">
        <is>
          <t>People admitted to advertised positions are employed by KTH on a monthly salary, currently starting at SEK 33,000 and rising to SEK 37,100 per month</t>
        </is>
      </c>
      <c r="T22" s="4" t="inlineStr">
        <is>
          <t>Master's usually required</t>
        </is>
      </c>
      <c r="U22" s="4" t="inlineStr">
        <is>
          <t>KTH's Doctoral Program in Physics (School of Engineering Sciences) has six specialisations; the application rules are KTH-wide. A PhD is four years full-time, with up to 20% departmental duties. English rules point to University Admissions in Sweden (universityadmissions.se), which KTH links to; its India rules are written for master's admission and KTH says the doctoral requirement is the same.</t>
        </is>
      </c>
      <c r="V22" s="5" t="inlineStr">
        <is>
          <t>https://www.kth.se/en/sci/utbildning/forskarutbildning/forskaramnet-fysik-1.795636</t>
        </is>
      </c>
      <c r="W22" s="4" t="inlineStr">
        <is>
          <t>2026-10-21</t>
        </is>
      </c>
    </row>
    <row r="23">
      <c r="A23" s="4" t="inlineStr">
        <is>
          <t>Munich (MCQST)</t>
        </is>
      </c>
      <c r="B23" s="4" t="inlineStr">
        <is>
          <t>LMU / TUM / Max Planck (Munich) · MCQST Doctoral Fellowships in Quantum Science &amp; Technology (formerly IMPRS-QST)</t>
        </is>
      </c>
      <c r="C23" s="4" t="inlineStr">
        <is>
          <t>Germany</t>
        </is>
      </c>
      <c r="D23" s="4" t="inlineStr">
        <is>
          <t>Bavaria (Munich)</t>
        </is>
      </c>
      <c r="E23" s="4" t="inlineStr">
        <is>
          <t>Not stated</t>
        </is>
      </c>
      <c r="F23" s="4" t="inlineStr">
        <is>
          <t>Call opens October 2026 for Fall 2027; deadline not yet published on the page checked</t>
        </is>
      </c>
      <c r="G23" s="4" t="inlineStr">
        <is>
          <t>Not stated</t>
        </is>
      </c>
      <c r="H23" s="4" t="inlineStr"/>
      <c r="I23" s="4" t="inlineStr">
        <is>
          <t>Not stated</t>
        </is>
      </c>
      <c r="J23" s="4" t="inlineStr">
        <is>
          <t>Not stated on the page checked</t>
        </is>
      </c>
      <c r="K23" s="4" t="inlineStr">
        <is>
          <t>Not stated</t>
        </is>
      </c>
      <c r="L23" s="4" t="inlineStr">
        <is>
          <t>Not stated</t>
        </is>
      </c>
      <c r="M23" s="4" t="inlineStr">
        <is>
          <t>Not stated</t>
        </is>
      </c>
      <c r="N23" s="4" t="inlineStr">
        <is>
          <t>Not stated</t>
        </is>
      </c>
      <c r="O23" s="4" t="inlineStr">
        <is>
          <t>Not stated</t>
        </is>
      </c>
      <c r="P23" s="4" t="inlineStr">
        <is>
          <t>Not stated</t>
        </is>
      </c>
      <c r="Q23" s="4" t="inlineStr">
        <is>
          <t>Not stated on the page checked</t>
        </is>
      </c>
      <c r="R23" s="4" t="inlineStr">
        <is>
          <t>Not stated</t>
        </is>
      </c>
      <c r="S23" s="4" t="inlineStr">
        <is>
          <t>Doctoral fellowships; terms not stated on the page checked</t>
        </is>
      </c>
      <c r="T23" s="4" t="inlineStr">
        <is>
          <t>Not stated</t>
        </is>
      </c>
      <c r="U23" s="4" t="inlineStr">
        <is>
          <t>One shared platform: apply for the MCQST fellowship, the Munich Quantum Valley (MQV) fellowship, or both. IMPRS-QST no longer runs a separate program.</t>
        </is>
      </c>
      <c r="V23" s="5" t="inlineStr">
        <is>
          <t>https://www.imprs-quantum.mpg.de/3192/Application</t>
        </is>
      </c>
      <c r="W23" s="4" t="inlineStr">
        <is>
          <t>2026-10-21</t>
        </is>
      </c>
    </row>
    <row r="24">
      <c r="A24" s="4" t="inlineStr">
        <is>
          <t>Leiden</t>
        </is>
      </c>
      <c r="B24" s="4" t="inlineStr">
        <is>
          <t>Leiden University · Leiden Institute of Physics (LION)</t>
        </is>
      </c>
      <c r="C24" s="4" t="inlineStr">
        <is>
          <t>Netherlands</t>
        </is>
      </c>
      <c r="D24" s="4" t="inlineStr">
        <is>
          <t>South Holland (Leiden)</t>
        </is>
      </c>
      <c r="E24" s="4" t="inlineStr">
        <is>
          <t>Per position</t>
        </is>
      </c>
      <c r="F24" s="4" t="inlineStr">
        <is>
          <t>Paid PhD positions are advertised as vacancies with their own deadlines</t>
        </is>
      </c>
      <c r="G24" s="4" t="inlineStr">
        <is>
          <t>Not stated</t>
        </is>
      </c>
      <c r="H24" s="4" t="inlineStr"/>
      <c r="I24" s="4" t="inlineStr">
        <is>
          <t>Not stated</t>
        </is>
      </c>
      <c r="J24" s="4" t="inlineStr">
        <is>
          <t>Not stated on the pages checked</t>
        </is>
      </c>
      <c r="K24" s="4" t="inlineStr">
        <is>
          <t>Not stated</t>
        </is>
      </c>
      <c r="L24" s="4" t="inlineStr">
        <is>
          <t>Not stated</t>
        </is>
      </c>
      <c r="M24" s="4" t="inlineStr">
        <is>
          <t>Not stated</t>
        </is>
      </c>
      <c r="N24" s="4" t="inlineStr">
        <is>
          <t>Not stated</t>
        </is>
      </c>
      <c r="O24" s="4" t="inlineStr">
        <is>
          <t>Not stated on the pages checked (theses are written in English)</t>
        </is>
      </c>
      <c r="P24" s="4" t="inlineStr">
        <is>
          <t>Required</t>
        </is>
      </c>
      <c r="Q24" s="4" t="inlineStr">
        <is>
          <t>Apply to a specific advertised position; requirements are set with the thesis supervisor</t>
        </is>
      </c>
      <c r="R24" s="4" t="inlineStr">
        <is>
          <t>Guaranteed</t>
        </is>
      </c>
      <c r="S24" s="4" t="inlineStr">
        <is>
          <t>All LION PhD projects are 4-year fully paid positions (usually a 1+3-year contract) with about 10% teaching</t>
        </is>
      </c>
      <c r="T24" s="4" t="inlineStr">
        <is>
          <t>Master's usually required</t>
        </is>
      </c>
      <c r="U24" s="4" t="inlineStr">
        <is>
          <t>Self-funded entry possible with grants covering living costs and a bench fee.</t>
        </is>
      </c>
      <c r="V24" s="5" t="inlineStr">
        <is>
          <t>https://www.universiteitleiden.nl/en/science/physics/phd-programme</t>
        </is>
      </c>
      <c r="W24" s="4" t="inlineStr">
        <is>
          <t>2026-10-21</t>
        </is>
      </c>
    </row>
    <row r="25">
      <c r="A25" s="4" t="inlineStr">
        <is>
          <t>Massachusetts Institute of Technology</t>
        </is>
      </c>
      <c r="B25" s="4" t="inlineStr">
        <is>
          <t>Massachusetts Institute of Technology · Department of Physics</t>
        </is>
      </c>
      <c r="C25" s="4" t="inlineStr">
        <is>
          <t>USA</t>
        </is>
      </c>
      <c r="D25" s="4" t="inlineStr">
        <is>
          <t>Massachusetts</t>
        </is>
      </c>
      <c r="E25" s="6" t="n">
        <v>46371</v>
      </c>
      <c r="F25" s="4" t="inlineStr">
        <is>
          <t>December 15 at 11:59 PM Eastern (application opens September 15); year inferred</t>
        </is>
      </c>
      <c r="G25" s="4" t="n">
        <v>90</v>
      </c>
      <c r="H25" s="4" t="inlineStr">
        <is>
          <t>USD</t>
        </is>
      </c>
      <c r="I25" s="4" t="inlineStr">
        <is>
          <t>Limited</t>
        </is>
      </c>
      <c r="J25" s="4" t="inlineStr">
        <is>
          <t>International applicants qualify only if currently at a US college AND in a select research-preparation program; no hardship-only waivers for internationals. Requests due Dec 1 for Dec 15 deadlines.</t>
        </is>
      </c>
      <c r="K25" s="4" t="inlineStr">
        <is>
          <t>Recommended</t>
        </is>
      </c>
      <c r="L25" s="4" t="inlineStr">
        <is>
          <t>Recommended</t>
        </is>
      </c>
      <c r="M25" s="4" t="inlineStr">
        <is>
          <t>100</t>
        </is>
      </c>
      <c r="N25" s="4" t="inlineStr">
        <is>
          <t>No</t>
        </is>
      </c>
      <c r="O25" s="4" t="inlineStr">
        <is>
          <t>Automatic exemption only for undergraduate degrees from Australia, Canada, Ireland, New Zealand, UK or US; English-medium degrees from other countries (e.g. India) explicitly do not qualify. Physics says a department waiver "may be available" (discretionary, requested in the application).</t>
        </is>
      </c>
      <c r="P25" s="4" t="inlineStr">
        <is>
          <t>Not stated</t>
        </is>
      </c>
      <c r="Q25" s="4" t="inlineStr">
        <is>
          <t>No pre-application supervisor requirement mentioned</t>
        </is>
      </c>
      <c r="R25" s="4" t="inlineStr">
        <is>
          <t>Guaranteed</t>
        </is>
      </c>
      <c r="S25" s="4" t="inlineStr">
        <is>
          <t>PhD students fully supported for the whole program, given satisfactory progress (tuition, health insurance, stipend)</t>
        </is>
      </c>
      <c r="T25" s="4" t="inlineStr">
        <is>
          <t>Not stated</t>
        </is>
      </c>
      <c r="U25" s="4" t="inlineStr">
        <is>
          <t>physics.mit.edu blocked automated fetches (403, also with a headless browser), so facts come from the MIT Office of Graduate Education program page. OGE grants up to three fee waivers per applicant.</t>
        </is>
      </c>
      <c r="V25" s="5" t="inlineStr">
        <is>
          <t>https://oge.mit.edu/programs/physics/</t>
        </is>
      </c>
      <c r="W25" s="4" t="inlineStr">
        <is>
          <t>2026-10-21</t>
        </is>
      </c>
    </row>
    <row r="26">
      <c r="A26" s="4" t="inlineStr">
        <is>
          <t>IMPRS Quantum Materials (Dresden)</t>
        </is>
      </c>
      <c r="B26" s="4" t="inlineStr">
        <is>
          <t>Max Planck Institute for Chemical Physics of Solids (MPI CPfS) and TU Dresden · IMPRS for Chemistry and Physics of Quantum Materials (IMPRS-CPQM)</t>
        </is>
      </c>
      <c r="C26" s="4" t="inlineStr">
        <is>
          <t>Germany</t>
        </is>
      </c>
      <c r="D26" s="4" t="inlineStr">
        <is>
          <t>Saxony</t>
        </is>
      </c>
      <c r="E26" s="6" t="n">
        <v>46356</v>
      </c>
      <c r="F26" s="4" t="inlineStr">
        <is>
          <t>Nov 30, 2026 for the 2026/27 recruitment cycle (selection workshop in Dresden Feb 22–24, 2027; start by Sept 2027). Applications outside the cycle are accepted year-round and handled individually</t>
        </is>
      </c>
      <c r="G26" s="4" t="n">
        <v>0</v>
      </c>
      <c r="H26" s="4" t="inlineStr"/>
      <c r="I26" s="4" t="inlineStr">
        <is>
          <t>No fee</t>
        </is>
      </c>
      <c r="J26" s="4" t="inlineStr">
        <is>
          <t>Not needed: no application fee</t>
        </is>
      </c>
      <c r="K26" s="4" t="inlineStr">
        <is>
          <t>Not stated</t>
        </is>
      </c>
      <c r="L26" s="4" t="inlineStr">
        <is>
          <t>Not stated</t>
        </is>
      </c>
      <c r="M26" s="4" t="inlineStr">
        <is>
          <t>Not stated</t>
        </is>
      </c>
      <c r="N26" s="4" t="inlineStr">
        <is>
          <t>Conditional</t>
        </is>
      </c>
      <c r="O26" s="4" t="inlineStr">
        <is>
          <t>No English certificate is generally needed; the exception is projects involving the University of St Andrews, which requires evidence of English proficiency</t>
        </is>
      </c>
      <c r="P26" s="4" t="inlineStr">
        <is>
          <t>Not required</t>
        </is>
      </c>
      <c r="Q26" s="4" t="inlineStr">
        <is>
          <t>Central application via the online form; do not send applications to individual PIs. Project supervisors and a PI team review applications</t>
        </is>
      </c>
      <c r="R26" s="4" t="inlineStr">
        <is>
          <t>Guaranteed</t>
        </is>
      </c>
      <c r="S26" s="4" t="inlineStr">
        <is>
          <t>All students are supported: in Germany on the standard Max Planck PhD contract; in the UK at the national stipend rate, with St Andrews tuition covered</t>
        </is>
      </c>
      <c r="T26" s="4" t="inlineStr">
        <is>
          <t>Either</t>
        </is>
      </c>
      <c r="U26" s="4" t="inlineStr">
        <is>
          <t>Tri-institutional with the University of St Andrews; which university you register at depends on your entry qualifications, home country and project. Choose from the listed projects; own research proposals are not accepted.</t>
        </is>
      </c>
      <c r="V26" s="5" t="inlineStr">
        <is>
          <t>https://imprs-cpqm.mpg.de/apply-now</t>
        </is>
      </c>
      <c r="W26" s="4" t="inlineStr">
        <is>
          <t>2026-10-21</t>
        </is>
      </c>
    </row>
    <row r="27">
      <c r="A27" s="4" t="inlineStr">
        <is>
          <t>IMPRS Quantum Dynamics (Heidelberg)</t>
        </is>
      </c>
      <c r="B27" s="4" t="inlineStr">
        <is>
          <t>Max Planck Institute for Nuclear Physics (MPIK) and Heidelberg University · IMPRS for Quantum Dynamics in Physics, Chemistry and Biology (IMPRS-QD)</t>
        </is>
      </c>
      <c r="C27" s="4" t="inlineStr">
        <is>
          <t>Germany</t>
        </is>
      </c>
      <c r="D27" s="4" t="inlineStr">
        <is>
          <t>Baden-Württemberg</t>
        </is>
      </c>
      <c r="E27" s="6" t="n">
        <v>46327</v>
      </c>
      <c r="F27" s="4" t="inlineStr">
        <is>
          <t>Nov 1, 2026 for the 2026/2027 winter round (complete applications including reference letters)</t>
        </is>
      </c>
      <c r="G27" s="4" t="inlineStr">
        <is>
          <t>Not stated</t>
        </is>
      </c>
      <c r="H27" s="4" t="inlineStr"/>
      <c r="I27" s="4" t="inlineStr">
        <is>
          <t>Not stated</t>
        </is>
      </c>
      <c r="J27" s="4" t="inlineStr">
        <is>
          <t>Not stated on the page checked</t>
        </is>
      </c>
      <c r="K27" s="4" t="inlineStr">
        <is>
          <t>Not stated</t>
        </is>
      </c>
      <c r="L27" s="4" t="inlineStr">
        <is>
          <t>Not stated</t>
        </is>
      </c>
      <c r="M27" s="4" t="inlineStr">
        <is>
          <t>Not stated</t>
        </is>
      </c>
      <c r="N27" s="4" t="inlineStr">
        <is>
          <t>Not stated</t>
        </is>
      </c>
      <c r="O27" s="4" t="inlineStr">
        <is>
          <t>Proof of English required if your mother tongue is not English or German; the page does not say whether an English-medium degree counts</t>
        </is>
      </c>
      <c r="P27" s="4" t="inlineStr">
        <is>
          <t>Not stated</t>
        </is>
      </c>
      <c r="Q27" s="4" t="inlineStr">
        <is>
          <t>No pre-application supervisor rule stated; short-listed candidates interview with their potential supervisors</t>
        </is>
      </c>
      <c r="R27" s="4" t="inlineStr">
        <is>
          <t>Competitive</t>
        </is>
      </c>
      <c r="S27" s="4" t="inlineStr">
        <is>
          <t>The school offers funding to selected students worldwide; admission is competitive and living-expense funding needs approval by the full IMPRS-QD Board</t>
        </is>
      </c>
      <c r="T27" s="4" t="inlineStr">
        <is>
          <t>Master's usually required</t>
        </is>
      </c>
      <c r="U27" s="4" t="inlineStr">
        <is>
          <t>Partners: MPIK, Heidelberg University, DKFZ, MPI for Medical Research, GSI Darmstadt. Physics students funded by IMPRS-QD are expected to join HGSFP; the online application link goes to the HGSFP portal.</t>
        </is>
      </c>
      <c r="V27" s="5" t="inlineStr">
        <is>
          <t>https://www.mpi-hd.mpg.de/imprs-qd/application/</t>
        </is>
      </c>
      <c r="W27" s="4" t="inlineStr">
        <is>
          <t>2026-10-21</t>
        </is>
      </c>
    </row>
    <row r="28">
      <c r="A28" s="4" t="inlineStr">
        <is>
          <t>IMPRS Solar System (Göttingen)</t>
        </is>
      </c>
      <c r="B28" s="4" t="inlineStr">
        <is>
          <t>Max Planck Institute for Solar System Research (MPS), with University of Göttingen and TU Braunschweig · IMPRS for Solar System Science (Solar System School)</t>
        </is>
      </c>
      <c r="C28" s="4" t="inlineStr">
        <is>
          <t>Germany</t>
        </is>
      </c>
      <c r="D28" s="4" t="inlineStr">
        <is>
          <t>Lower Saxony</t>
        </is>
      </c>
      <c r="E28" s="4" t="inlineStr">
        <is>
          <t>Rolling</t>
        </is>
      </c>
      <c r="F28" s="4" t="inlineStr">
        <is>
          <t>Apply any time for advertised open projects; applications are reviewed in several rounds a year. The 2025/26 call rounds closed Feb 1, Jun 1 and Oct 1, 2026; dates for the next rounds were not yet published when checked</t>
        </is>
      </c>
      <c r="G28" s="4" t="inlineStr">
        <is>
          <t>Not stated</t>
        </is>
      </c>
      <c r="H28" s="4" t="inlineStr"/>
      <c r="I28" s="4" t="inlineStr">
        <is>
          <t>Not stated</t>
        </is>
      </c>
      <c r="J28" s="4" t="inlineStr">
        <is>
          <t>Not stated on the page checked</t>
        </is>
      </c>
      <c r="K28" s="4" t="inlineStr">
        <is>
          <t>Not required</t>
        </is>
      </c>
      <c r="L28" s="4" t="inlineStr">
        <is>
          <t>Recommended</t>
        </is>
      </c>
      <c r="M28" s="4" t="inlineStr">
        <is>
          <t>Not stated</t>
        </is>
      </c>
      <c r="N28" s="4" t="inlineStr">
        <is>
          <t>Yes</t>
        </is>
      </c>
      <c r="O28" s="4" t="inlineStr">
        <is>
          <t>A degree from a course of study taught in English counts as proof of English; a test is needed only if your recent education was not in English or German for at least two years</t>
        </is>
      </c>
      <c r="P28" s="4" t="inlineStr">
        <is>
          <t>Not required</t>
        </is>
      </c>
      <c r="Q28" s="4" t="inlineStr">
        <is>
          <t>Contacting faculty first is not mandatory (it may help); a committee screens applications and the potential supervisor makes the final decision</t>
        </is>
      </c>
      <c r="R28" s="4" t="inlineStr">
        <is>
          <t>Typical</t>
        </is>
      </c>
      <c r="S28" s="4" t="inlineStr">
        <is>
          <t>Usually a doctoral support contract at 75% of TVöD E13 (about EUR 2,400 net/month on average); some students are on third-party scholarships. The 2025/26 call offered successful applicants a 3.5-year contract plus wrap-up funding</t>
        </is>
      </c>
      <c r="T28" s="4" t="inlineStr">
        <is>
          <t>Master's usually required</t>
        </is>
      </c>
      <c r="U28" s="4" t="inlineStr">
        <is>
          <t>Solar/stellar physics, planetary science and geoscience projects; choose up to three advertised open projects. Degree awarded by University of Göttingen or TU Braunschweig. The funding page says three-year contracts; the call and FAQ say 3.5 years.</t>
        </is>
      </c>
      <c r="V28" s="5" t="inlineStr">
        <is>
          <t>https://www.mps.mpg.de/phd/application</t>
        </is>
      </c>
      <c r="W28" s="4" t="inlineStr">
        <is>
          <t>2026-10-21</t>
        </is>
      </c>
    </row>
    <row r="29">
      <c r="A29" s="4" t="inlineStr">
        <is>
          <t>McGill</t>
        </is>
      </c>
      <c r="B29" s="4" t="inlineStr">
        <is>
          <t>McGill University · Department of Physics</t>
        </is>
      </c>
      <c r="C29" s="4" t="inlineStr">
        <is>
          <t>Canada</t>
        </is>
      </c>
      <c r="D29" s="4" t="inlineStr">
        <is>
          <t>Quebec</t>
        </is>
      </c>
      <c r="E29" s="6" t="n">
        <v>46371</v>
      </c>
      <c r="F29" s="4" t="inlineStr">
        <is>
          <t>December 15 for September (Fall) admission, international and domestic. Year inferred for Fall 2027.</t>
        </is>
      </c>
      <c r="G29" s="4" t="n">
        <v>120.99</v>
      </c>
      <c r="H29" s="4" t="inlineStr">
        <is>
          <t>CAD</t>
        </is>
      </c>
      <c r="I29" s="4" t="inlineStr">
        <is>
          <t>Not stated</t>
        </is>
      </c>
      <c r="J29" s="4" t="inlineStr">
        <is>
          <t>No waiver route stated on the pages checked</t>
        </is>
      </c>
      <c r="K29" s="4" t="inlineStr">
        <is>
          <t>Optional</t>
        </is>
      </c>
      <c r="L29" s="4" t="inlineStr">
        <is>
          <t>Recommended</t>
        </is>
      </c>
      <c r="M29" s="4" t="inlineStr">
        <is>
          <t>86</t>
        </is>
      </c>
      <c r="N29" s="4" t="inlineStr">
        <is>
          <t>Yes</t>
        </is>
      </c>
      <c r="O29" s="4" t="inlineStr">
        <is>
          <t>Normally exempt with a degree from a recognized foreign institution where English is the language of instruction; send proof to the department</t>
        </is>
      </c>
      <c r="P29" s="4" t="inlineStr">
        <is>
          <t>Recommended</t>
        </is>
      </c>
      <c r="Q29" s="4" t="inlineStr">
        <is>
          <t>Not required, but highly recommended: professors select students for their groups</t>
        </is>
      </c>
      <c r="R29" s="4" t="inlineStr">
        <is>
          <t>Guaranteed</t>
        </is>
      </c>
      <c r="S29" s="4" t="inlineStr">
        <is>
          <t>All graduate students receive a standard stipend, plus possible TA work</t>
        </is>
      </c>
      <c r="T29" s="4" t="inlineStr">
        <is>
          <t>Master's usually required</t>
        </is>
      </c>
      <c r="U29" s="4" t="inlineStr">
        <is>
          <t>The department FAQ answers 'Do I need to speak French?'; read it before applying. A Winter (January) intake also exists.</t>
        </is>
      </c>
      <c r="V29" s="5" t="inlineStr">
        <is>
          <t>https://www.physics.mcgill.ca/grads/application.html</t>
        </is>
      </c>
      <c r="W29" s="4" t="inlineStr">
        <is>
          <t>2026-10-21</t>
        </is>
      </c>
    </row>
    <row r="30">
      <c r="A30" s="4" t="inlineStr">
        <is>
          <t>McMaster</t>
        </is>
      </c>
      <c r="B30" s="4" t="inlineStr">
        <is>
          <t>McMaster University · Physics and Astronomy</t>
        </is>
      </c>
      <c r="C30" s="4" t="inlineStr">
        <is>
          <t>Canada</t>
        </is>
      </c>
      <c r="D30" s="4" t="inlineStr">
        <is>
          <t>Ontario</t>
        </is>
      </c>
      <c r="E30" s="6" t="n">
        <v>46419</v>
      </c>
      <c r="F30" s="4" t="inlineStr">
        <is>
          <t>No formal deadline (rolling, offers while funding lasts); international applicants strongly encouraged to apply by February 1 for internal scholarships. SGS: complete by January 31 for full scholarship consideration; considered until April 30.</t>
        </is>
      </c>
      <c r="G30" s="4" t="n">
        <v>150</v>
      </c>
      <c r="H30" s="4" t="inlineStr">
        <is>
          <t>CAD</t>
        </is>
      </c>
      <c r="I30" s="4" t="inlineStr">
        <is>
          <t>Not stated</t>
        </is>
      </c>
      <c r="J30" s="4" t="inlineStr">
        <is>
          <t>No waiver route stated on the pages checked</t>
        </is>
      </c>
      <c r="K30" s="4" t="inlineStr">
        <is>
          <t>Not stated</t>
        </is>
      </c>
      <c r="L30" s="4" t="inlineStr">
        <is>
          <t>Not stated</t>
        </is>
      </c>
      <c r="M30" s="4" t="inlineStr">
        <is>
          <t>Not stated</t>
        </is>
      </c>
      <c r="N30" s="4" t="inlineStr">
        <is>
          <t>Conditional</t>
        </is>
      </c>
      <c r="O30" s="4" t="inlineStr">
        <is>
          <t>The application asks whether your degree's official language of instruction AND evaluation was English; programs may add their own requirements</t>
        </is>
      </c>
      <c r="P30" s="4" t="inlineStr">
        <is>
          <t>Recommended</t>
        </is>
      </c>
      <c r="Q30" s="4" t="inlineStr">
        <is>
          <t>Funding includes a research fellowship from the supervisor's grant; contact faculty directly to ask if they are taking students</t>
        </is>
      </c>
      <c r="R30" s="4" t="inlineStr">
        <is>
          <t>Guaranteed</t>
        </is>
      </c>
      <c r="S30" s="4" t="inlineStr">
        <is>
          <t>Full support guaranteed for all admitted students (scholarship + supervisor research scholarship + TA); minimum at least CAD 21,000 after tuition and fees</t>
        </is>
      </c>
      <c r="T30" s="4" t="inlineStr">
        <is>
          <t>Not stated</t>
        </is>
      </c>
      <c r="U30" s="4" t="inlineStr">
        <is>
          <t>About 25 new MSc/PhD students per year; first offers often go out before Christmas, so earlier is better.</t>
        </is>
      </c>
      <c r="V30" s="5" t="inlineStr">
        <is>
          <t>https://physics.mcmaster.ca/graduate-studies/how-to-apply/</t>
        </is>
      </c>
      <c r="W30" s="4" t="inlineStr">
        <is>
          <t>2026-10-21</t>
        </is>
      </c>
    </row>
    <row r="31">
      <c r="A31" s="4" t="inlineStr">
        <is>
          <t>North Carolina State University</t>
        </is>
      </c>
      <c r="B31" s="4" t="inlineStr">
        <is>
          <t>North Carolina State University · Department of Physics and Astronomy</t>
        </is>
      </c>
      <c r="C31" s="4" t="inlineStr">
        <is>
          <t>USA</t>
        </is>
      </c>
      <c r="D31" s="4" t="inlineStr">
        <is>
          <t>North Carolina</t>
        </is>
      </c>
      <c r="E31" s="6" t="n">
        <v>46391</v>
      </c>
      <c r="F31" s="4" t="inlineStr">
        <is>
          <t>Priority deadline January 4, 2027 for Fall 2027; in exceptional cases international applications accepted until March 1</t>
        </is>
      </c>
      <c r="G31" s="4" t="n">
        <v>95</v>
      </c>
      <c r="H31" s="4" t="inlineStr">
        <is>
          <t>USD</t>
        </is>
      </c>
      <c r="I31" s="4" t="inlineStr">
        <is>
          <t>Domestic only</t>
        </is>
      </c>
      <c r="J31" s="4" t="inlineStr">
        <is>
          <t>Waiver only for the first 100 U.S.-citizen applicants with GPA above 3.0; department does not waive the fee for international students</t>
        </is>
      </c>
      <c r="K31" s="4" t="inlineStr">
        <is>
          <t>Optional</t>
        </is>
      </c>
      <c r="L31" s="4" t="inlineStr">
        <is>
          <t>Optional</t>
        </is>
      </c>
      <c r="M31" s="4" t="inlineStr">
        <is>
          <t>80</t>
        </is>
      </c>
      <c r="N31" s="4" t="inlineStr">
        <is>
          <t>Not stated</t>
        </is>
      </c>
      <c r="O31" s="4" t="inlineStr">
        <is>
          <t>Exempt if a citizen of a country where English is an official language and the language of instruction in higher education (FAQ says "the official language"); no country list on the pages checked, so India's status is not confirmed. Medium-of-instruction letters not mentioned.</t>
        </is>
      </c>
      <c r="P31" s="4" t="inlineStr">
        <is>
          <t>Not stated</t>
        </is>
      </c>
      <c r="Q31" s="4" t="inlineStr">
        <is>
          <t>Not stated on the page checked (candidate statement should list possible advisers)</t>
        </is>
      </c>
      <c r="R31" s="4" t="inlineStr">
        <is>
          <t>Typical</t>
        </is>
      </c>
      <c r="S31" s="4" t="inlineStr">
        <is>
          <t>Admits usually offered support; over 95% of students on TA/RA/fellowship (~$30,000/yr in Fall 2026)</t>
        </is>
      </c>
      <c r="T31" s="4" t="inlineStr">
        <is>
          <t>Direct from bachelor's</t>
        </is>
      </c>
      <c r="U31" s="4" t="inlineStr">
        <is>
          <t>International applicants are usually interviewed by Skype or phone. TA eligibility needs the SPEAK test plus higher IELTS speaking (7.0) or Duolingo sub-scores (125). Graduate School site (grad.ncsu.edu) could not be fetched (TLS failure).</t>
        </is>
      </c>
      <c r="V31" s="5" t="inlineStr">
        <is>
          <t>https://physics.sciences.ncsu.edu/graduate/apply/</t>
        </is>
      </c>
      <c r="W31" s="4" t="inlineStr">
        <is>
          <t>2026-10-21</t>
        </is>
      </c>
    </row>
    <row r="32">
      <c r="A32" s="4" t="inlineStr">
        <is>
          <t>Penn State</t>
        </is>
      </c>
      <c r="B32" s="4" t="inlineStr">
        <is>
          <t>Penn State University (University Park) · Department of Physics</t>
        </is>
      </c>
      <c r="C32" s="4" t="inlineStr">
        <is>
          <t>USA</t>
        </is>
      </c>
      <c r="D32" s="4" t="inlineStr">
        <is>
          <t>Pennsylvania</t>
        </is>
      </c>
      <c r="E32" s="6" t="n">
        <v>46402</v>
      </c>
      <c r="F32" s="4" t="inlineStr">
        <is>
          <t>January 15 (applications for Fall 2027 open October 1, 2026). Year inferred.</t>
        </is>
      </c>
      <c r="G32" s="4" t="n">
        <v>0</v>
      </c>
      <c r="H32" s="4" t="inlineStr"/>
      <c r="I32" s="4" t="inlineStr">
        <is>
          <t>Available</t>
        </is>
      </c>
      <c r="J32" s="4" t="inlineStr">
        <is>
          <t>Automatic for everyone this cycle via code PHYS2027 (international included)</t>
        </is>
      </c>
      <c r="K32" s="4" t="inlineStr">
        <is>
          <t>Not stated</t>
        </is>
      </c>
      <c r="L32" s="4" t="inlineStr">
        <is>
          <t>Not stated</t>
        </is>
      </c>
      <c r="M32" s="4" t="inlineStr">
        <is>
          <t>Not stated</t>
        </is>
      </c>
      <c r="N32" s="4" t="inlineStr">
        <is>
          <t>Not stated</t>
        </is>
      </c>
      <c r="O32" s="4" t="inlineStr">
        <is>
          <t>Rule is country-based ('non-English speaking countries'); exemption list not shown on the page checked</t>
        </is>
      </c>
      <c r="P32" s="4" t="inlineStr">
        <is>
          <t>Not stated</t>
        </is>
      </c>
      <c r="Q32" s="4" t="inlineStr">
        <is>
          <t>No pre-application supervisor requirement mentioned</t>
        </is>
      </c>
      <c r="R32" s="4" t="inlineStr">
        <is>
          <t>Not stated</t>
        </is>
      </c>
      <c r="S32" s="4" t="inlineStr">
        <is>
          <t>Not stated on the page checked</t>
        </is>
      </c>
      <c r="T32" s="4" t="inlineStr">
        <is>
          <t>Not stated</t>
        </is>
      </c>
      <c r="U32" s="4" t="inlineStr">
        <is>
          <t>Free to apply this cycle; a low-cost 'safety-to-target' add for many lists.</t>
        </is>
      </c>
      <c r="V32" s="5" t="inlineStr">
        <is>
          <t>https://science.psu.edu/physics/graduate/applying</t>
        </is>
      </c>
      <c r="W32" s="4" t="inlineStr">
        <is>
          <t>2026-10-21</t>
        </is>
      </c>
    </row>
    <row r="33">
      <c r="A33" s="4" t="inlineStr">
        <is>
          <t>Purdue</t>
        </is>
      </c>
      <c r="B33" s="4" t="inlineStr">
        <is>
          <t>Purdue University (West Lafayette) · Physics and Astronomy</t>
        </is>
      </c>
      <c r="C33" s="4" t="inlineStr">
        <is>
          <t>USA</t>
        </is>
      </c>
      <c r="D33" s="4" t="inlineStr">
        <is>
          <t>Indiana</t>
        </is>
      </c>
      <c r="E33" s="6" t="n">
        <v>46371</v>
      </c>
      <c r="F33" s="4" t="inlineStr">
        <is>
          <t>December 15 for fall, including TOEFL/IELTS scores. Year inferred for Fall 2027.</t>
        </is>
      </c>
      <c r="G33" s="4" t="n">
        <v>75</v>
      </c>
      <c r="H33" s="4" t="inlineStr">
        <is>
          <t>USD</t>
        </is>
      </c>
      <c r="I33" s="4" t="inlineStr">
        <is>
          <t>Limited</t>
        </is>
      </c>
      <c r="J33" s="4" t="inlineStr">
        <is>
          <t>Fee-waiver applications exist through Big Ten and Purdue; check eligibility for international applicants</t>
        </is>
      </c>
      <c r="K33" s="4" t="inlineStr">
        <is>
          <t>Optional</t>
        </is>
      </c>
      <c r="L33" s="4" t="inlineStr">
        <is>
          <t>Optional</t>
        </is>
      </c>
      <c r="M33" s="4" t="inlineStr">
        <is>
          <t>Not stated</t>
        </is>
      </c>
      <c r="N33" s="4" t="inlineStr">
        <is>
          <t>Not stated</t>
        </is>
      </c>
      <c r="O33" s="4" t="inlineStr">
        <is>
          <t>Exemption rules not shown on the pages checked</t>
        </is>
      </c>
      <c r="P33" s="4" t="inlineStr">
        <is>
          <t>Not stated</t>
        </is>
      </c>
      <c r="Q33" s="4" t="inlineStr">
        <is>
          <t>No pre-application supervisor requirement mentioned</t>
        </is>
      </c>
      <c r="R33" s="4" t="inlineStr">
        <is>
          <t>Typical</t>
        </is>
      </c>
      <c r="S33" s="4" t="inlineStr">
        <is>
          <t>Most common support is a half-time (20 h/week) teaching assistantship; tick the box on the main application</t>
        </is>
      </c>
      <c r="T33" s="4" t="inlineStr">
        <is>
          <t>Not stated</t>
        </is>
      </c>
      <c r="U33" s="4" t="inlineStr">
        <is>
          <t>Purdue states that from August 15, 2026, Indiana law requires additional review steps for some international applicants. Oral English certification is required to keep a TA appointment for non-native speakers.</t>
        </is>
      </c>
      <c r="V33" s="5" t="inlineStr">
        <is>
          <t>https://www.physics.purdue.edu/academic-programs/future_students/admissions.html</t>
        </is>
      </c>
      <c r="W33" s="4" t="inlineStr">
        <is>
          <t>2026-10-21</t>
        </is>
      </c>
    </row>
    <row r="34">
      <c r="A34" s="4" t="inlineStr">
        <is>
          <t>Queen's</t>
        </is>
      </c>
      <c r="B34" s="4" t="inlineStr">
        <is>
          <t>Queen's University · Physics, Engineering Physics and Astronomy</t>
        </is>
      </c>
      <c r="C34" s="4" t="inlineStr">
        <is>
          <t>Canada</t>
        </is>
      </c>
      <c r="D34" s="4" t="inlineStr">
        <is>
          <t>Ontario</t>
        </is>
      </c>
      <c r="E34" s="6" t="n">
        <v>46394</v>
      </c>
      <c r="F34" s="4" t="inlineStr">
        <is>
          <t>January 7 for full consideration (September start); rolling review so apply early. Year inferred.</t>
        </is>
      </c>
      <c r="G34" s="4" t="inlineStr">
        <is>
          <t>Not stated</t>
        </is>
      </c>
      <c r="H34" s="4" t="inlineStr"/>
      <c r="I34" s="4" t="inlineStr">
        <is>
          <t>Not stated</t>
        </is>
      </c>
      <c r="J34" s="4" t="inlineStr">
        <is>
          <t>Not stated on the pages checked</t>
        </is>
      </c>
      <c r="K34" s="4" t="inlineStr">
        <is>
          <t>Optional</t>
        </is>
      </c>
      <c r="L34" s="4" t="inlineStr">
        <is>
          <t>Optional</t>
        </is>
      </c>
      <c r="M34" s="4" t="inlineStr">
        <is>
          <t>Not stated</t>
        </is>
      </c>
      <c r="N34" s="4" t="inlineStr">
        <is>
          <t>Conditional</t>
        </is>
      </c>
      <c r="O34" s="4" t="inlineStr">
        <is>
          <t>You may REQUEST an exemption if, in the 12 months before applying, you studied 1+ full year at a post-secondary institution where English is the official language of instruction</t>
        </is>
      </c>
      <c r="P34" s="4" t="inlineStr">
        <is>
          <t>Recommended</t>
        </is>
      </c>
      <c r="Q34" s="4" t="inlineStr">
        <is>
          <t>A complete application needs a research proposal; work with a potential supervisor early</t>
        </is>
      </c>
      <c r="R34" s="4" t="inlineStr">
        <is>
          <t>Guaranteed</t>
        </is>
      </c>
      <c r="S34" s="4" t="inlineStr">
        <is>
          <t>Minimum stipend guaranteed; PhD for four years (TA ~10 h/week in fall/winter contributes)</t>
        </is>
      </c>
      <c r="T34" s="4" t="inlineStr">
        <is>
          <t>Master's usually required</t>
        </is>
      </c>
      <c r="U34" s="4" t="inlineStr">
        <is>
          <t>Research proposal required. OGS applications due March 1.</t>
        </is>
      </c>
      <c r="V34" s="5" t="inlineStr">
        <is>
          <t>https://www.queensu.ca/physics/grad-studies/applicants</t>
        </is>
      </c>
      <c r="W34" s="4" t="inlineStr">
        <is>
          <t>2026-10-21</t>
        </is>
      </c>
    </row>
    <row r="35">
      <c r="A35" s="4" t="inlineStr">
        <is>
          <t>Rice</t>
        </is>
      </c>
      <c r="B35" s="4" t="inlineStr">
        <is>
          <t>Rice University · Physics and Astronomy</t>
        </is>
      </c>
      <c r="C35" s="4" t="inlineStr">
        <is>
          <t>USA</t>
        </is>
      </c>
      <c r="D35" s="4" t="inlineStr">
        <is>
          <t>Texas</t>
        </is>
      </c>
      <c r="E35" s="6" t="n">
        <v>46371</v>
      </c>
      <c r="F35" s="4" t="inlineStr">
        <is>
          <t>December 15, 2026, 11:59 EST; late applications considered until April 1, 2027 (less competitive)</t>
        </is>
      </c>
      <c r="G35" s="4" t="n">
        <v>85</v>
      </c>
      <c r="H35" s="4" t="inlineStr">
        <is>
          <t>USD</t>
        </is>
      </c>
      <c r="I35" s="4" t="inlineStr">
        <is>
          <t>Available</t>
        </is>
      </c>
      <c r="J35" s="4" t="inlineStr">
        <is>
          <t>Doctoral Fee Waiver Weeks open to students worldwide Oct 14-Nov 1, 2026 (or until waivers run out); completed application due Nov 27. Also waived for Texas/neighbouring-state students, GCURS speakers, Fulbright Scholars.</t>
        </is>
      </c>
      <c r="K35" s="4" t="inlineStr">
        <is>
          <t>Not considered</t>
        </is>
      </c>
      <c r="L35" s="4" t="inlineStr">
        <is>
          <t>Not considered</t>
        </is>
      </c>
      <c r="M35" s="4" t="inlineStr">
        <is>
          <t>90</t>
        </is>
      </c>
      <c r="N35" s="4" t="inlineStr">
        <is>
          <t>Not stated</t>
        </is>
      </c>
      <c r="O35" s="4" t="inlineStr">
        <is>
          <t>Exemption rules not shown on the department page checked</t>
        </is>
      </c>
      <c r="P35" s="4" t="inlineStr">
        <is>
          <t>Not stated</t>
        </is>
      </c>
      <c r="Q35" s="4" t="inlineStr">
        <is>
          <t>No pre-application supervisor requirement mentioned</t>
        </is>
      </c>
      <c r="R35" s="4" t="inlineStr">
        <is>
          <t>Not stated</t>
        </is>
      </c>
      <c r="S35" s="4" t="inlineStr">
        <is>
          <t>Not stated on the page checked</t>
        </is>
      </c>
      <c r="T35" s="4" t="inlineStr">
        <is>
          <t>Not stated</t>
        </is>
      </c>
      <c r="U35" s="4" t="inlineStr">
        <is>
          <t>Applied Physics is a separate Rice program with its own deadline and fee policy.</t>
        </is>
      </c>
      <c r="V35" s="5" t="inlineStr">
        <is>
          <t>https://physics.rice.edu/how-apply</t>
        </is>
      </c>
      <c r="W35" s="4" t="inlineStr">
        <is>
          <t>2026-10-21</t>
        </is>
      </c>
    </row>
    <row r="36">
      <c r="A36" s="4" t="inlineStr">
        <is>
          <t>Rutgers</t>
        </is>
      </c>
      <c r="B36" s="4" t="inlineStr">
        <is>
          <t>Rutgers University (New Brunswick) · Physics and Astronomy</t>
        </is>
      </c>
      <c r="C36" s="4" t="inlineStr">
        <is>
          <t>USA</t>
        </is>
      </c>
      <c r="D36" s="4" t="inlineStr">
        <is>
          <t>New Jersey</t>
        </is>
      </c>
      <c r="E36" s="6" t="n">
        <v>46388</v>
      </c>
      <c r="F36" s="4" t="inlineStr">
        <is>
          <t>Submit everything before January 1 for full financial-aid consideration (fall). Year inferred.</t>
        </is>
      </c>
      <c r="G36" s="4" t="inlineStr">
        <is>
          <t>Not stated</t>
        </is>
      </c>
      <c r="H36" s="4" t="inlineStr"/>
      <c r="I36" s="4" t="inlineStr">
        <is>
          <t>Limited</t>
        </is>
      </c>
      <c r="J36" s="4" t="inlineStr">
        <is>
          <t>SGS auto-waives for certain groups; department can waive for a few applicants each year, usually used up months before the deadline - ask early</t>
        </is>
      </c>
      <c r="K36" s="4" t="inlineStr">
        <is>
          <t>Recommended</t>
        </is>
      </c>
      <c r="L36" s="4" t="inlineStr">
        <is>
          <t>Recommended</t>
        </is>
      </c>
      <c r="M36" s="4" t="inlineStr">
        <is>
          <t>Not stated</t>
        </is>
      </c>
      <c r="N36" s="4" t="inlineStr">
        <is>
          <t>Yes</t>
        </is>
      </c>
      <c r="O36" s="4" t="inlineStr">
        <is>
          <t>Exempt with 3+ years of undergraduate study or a master's where the mode of instruction was English</t>
        </is>
      </c>
      <c r="P36" s="4" t="inlineStr">
        <is>
          <t>Not stated</t>
        </is>
      </c>
      <c r="Q36" s="4" t="inlineStr">
        <is>
          <t>No pre-application supervisor requirement mentioned</t>
        </is>
      </c>
      <c r="R36" s="4" t="inlineStr">
        <is>
          <t>Guaranteed</t>
        </is>
      </c>
      <c r="S36" s="4" t="inlineStr">
        <is>
          <t>Department generally guarantees PhD support for 5 years</t>
        </is>
      </c>
      <c r="T36" s="4" t="inlineStr">
        <is>
          <t>Not stated</t>
        </is>
      </c>
      <c r="U36" s="4" t="inlineStr">
        <is>
          <t>Final decisions generally before April 15 for complete applications received by January.</t>
        </is>
      </c>
      <c r="V36" s="5" t="inlineStr">
        <is>
          <t>https://physics.rutgers.edu/academics/graduate-program/admissions</t>
        </is>
      </c>
      <c r="W36" s="4" t="inlineStr">
        <is>
          <t>2026-10-21</t>
        </is>
      </c>
    </row>
    <row r="37">
      <c r="A37" s="4" t="inlineStr">
        <is>
          <t>SISSA</t>
        </is>
      </c>
      <c r="B37" s="4" t="inlineStr">
        <is>
          <t>SISSA (Trieste) · PhD in Theory and Numerical Simulation of Condensed Matter</t>
        </is>
      </c>
      <c r="C37" s="4" t="inlineStr">
        <is>
          <t>Italy</t>
        </is>
      </c>
      <c r="D37" s="4" t="inlineStr">
        <is>
          <t>Friuli-Venezia Giulia (Trieste)</t>
        </is>
      </c>
      <c r="E37" s="4" t="inlineStr">
        <is>
          <t>Not stated</t>
        </is>
      </c>
      <c r="F37" s="4" t="inlineStr">
        <is>
          <t>Spring call closes early March each year (exact date in the call); a second call in September only if places remain. 2027 call not yet published.</t>
        </is>
      </c>
      <c r="G37" s="4" t="inlineStr">
        <is>
          <t>Not stated</t>
        </is>
      </c>
      <c r="H37" s="4" t="inlineStr"/>
      <c r="I37" s="4" t="inlineStr">
        <is>
          <t>Not stated</t>
        </is>
      </c>
      <c r="J37" s="4" t="inlineStr">
        <is>
          <t>Not stated on the page checked</t>
        </is>
      </c>
      <c r="K37" s="4" t="inlineStr">
        <is>
          <t>Not stated</t>
        </is>
      </c>
      <c r="L37" s="4" t="inlineStr">
        <is>
          <t>Not stated</t>
        </is>
      </c>
      <c r="M37" s="4" t="inlineStr">
        <is>
          <t>Not stated</t>
        </is>
      </c>
      <c r="N37" s="4" t="inlineStr">
        <is>
          <t>Not stated</t>
        </is>
      </c>
      <c r="O37" s="4" t="inlineStr">
        <is>
          <t>Not stated on the page checked</t>
        </is>
      </c>
      <c r="P37" s="4" t="inlineStr">
        <is>
          <t>Not stated</t>
        </is>
      </c>
      <c r="Q37" s="4" t="inlineStr">
        <is>
          <t>Selection is a competition (qualifications, written exam, interview); no prior supervisor requirement mentioned</t>
        </is>
      </c>
      <c r="R37" s="4" t="inlineStr">
        <is>
          <t>Not stated</t>
        </is>
      </c>
      <c r="S37" s="4" t="inlineStr">
        <is>
          <t>Not stated on the page checked</t>
        </is>
      </c>
      <c r="T37" s="4" t="inlineStr">
        <is>
          <t>Not stated</t>
        </is>
      </c>
      <c r="U37" s="4" t="inlineStr">
        <is>
          <t>SISSA can contribute up to EUR 150 toward travel for the exams. Each SISSA physics group runs its own call and exam; this record covers Condensed Matter only.</t>
        </is>
      </c>
      <c r="V37" s="5" t="inlineStr">
        <is>
          <t>https://cm.sissa.it/phd/admission</t>
        </is>
      </c>
      <c r="W37" s="4" t="inlineStr">
        <is>
          <t>2026-10-21</t>
        </is>
      </c>
    </row>
    <row r="38">
      <c r="A38" s="4" t="inlineStr">
        <is>
          <t>SFU</t>
        </is>
      </c>
      <c r="B38" s="4" t="inlineStr">
        <is>
          <t>Simon Fraser University · Department of Physics</t>
        </is>
      </c>
      <c r="C38" s="4" t="inlineStr">
        <is>
          <t>Canada</t>
        </is>
      </c>
      <c r="D38" s="4" t="inlineStr">
        <is>
          <t>British Columbia</t>
        </is>
      </c>
      <c r="E38" s="6" t="n">
        <v>46402</v>
      </c>
      <c r="F38" s="4" t="inlineStr">
        <is>
          <t>Apply before January 15 (better chance at desired group and awards); system open until May 31. Year inferred.</t>
        </is>
      </c>
      <c r="G38" s="4" t="n">
        <v>150</v>
      </c>
      <c r="H38" s="4" t="inlineStr">
        <is>
          <t>CAD</t>
        </is>
      </c>
      <c r="I38" s="4" t="inlineStr">
        <is>
          <t>Not stated</t>
        </is>
      </c>
      <c r="J38" s="4" t="inlineStr">
        <is>
          <t>Not stated on the pages checked</t>
        </is>
      </c>
      <c r="K38" s="4" t="inlineStr">
        <is>
          <t>Not stated</t>
        </is>
      </c>
      <c r="L38" s="4" t="inlineStr">
        <is>
          <t>Not stated</t>
        </is>
      </c>
      <c r="M38" s="4" t="inlineStr">
        <is>
          <t>Not stated</t>
        </is>
      </c>
      <c r="N38" s="4" t="inlineStr">
        <is>
          <t>No</t>
        </is>
      </c>
      <c r="O38" s="4" t="inlineStr">
        <is>
          <t>Exempt only if BOTH: degree taught and examined in English AND institution in an English-primary country (list linked); otherwise submit scores</t>
        </is>
      </c>
      <c r="P38" s="4" t="inlineStr">
        <is>
          <t>Not stated</t>
        </is>
      </c>
      <c r="Q38" s="4" t="inlineStr">
        <is>
          <t>Not stated in the text checked; transfers need supervisory committee approval</t>
        </is>
      </c>
      <c r="R38" s="4" t="inlineStr">
        <is>
          <t>Not stated</t>
        </is>
      </c>
      <c r="S38" s="4" t="inlineStr">
        <is>
          <t>Not stated on the pages checked</t>
        </is>
      </c>
      <c r="T38" s="4" t="inlineStr">
        <is>
          <t>Master's usually required</t>
        </is>
      </c>
      <c r="U38" s="4" t="inlineStr">
        <is>
          <t>PhD starts possible in September, January or May.</t>
        </is>
      </c>
      <c r="V38" s="5" t="inlineStr">
        <is>
          <t>https://www.sfu.ca/physics/graduate/prospective/applying.html</t>
        </is>
      </c>
      <c r="W38" s="4" t="inlineStr">
        <is>
          <t>2026-10-21</t>
        </is>
      </c>
    </row>
    <row r="39">
      <c r="A39" s="4" t="inlineStr">
        <is>
          <t>Stanford</t>
        </is>
      </c>
      <c r="B39" s="4" t="inlineStr">
        <is>
          <t>Stanford University · Department of Physics</t>
        </is>
      </c>
      <c r="C39" s="4" t="inlineStr">
        <is>
          <t>USA</t>
        </is>
      </c>
      <c r="D39" s="4" t="inlineStr">
        <is>
          <t>California</t>
        </is>
      </c>
      <c r="E39" s="6" t="n">
        <v>46370</v>
      </c>
      <c r="F39" s="4" t="inlineStr">
        <is>
          <t>11:59pm PST, December 14, 2026 (no late applications); Knight-Hennessy applicants: physics application by December 1, 2026</t>
        </is>
      </c>
      <c r="G39" s="4" t="inlineStr">
        <is>
          <t>Not stated</t>
        </is>
      </c>
      <c r="H39" s="4" t="inlineStr"/>
      <c r="I39" s="4" t="inlineStr">
        <is>
          <t>Limited</t>
        </is>
      </c>
      <c r="J39" s="4" t="inlineStr">
        <is>
          <t>Some applicants may qualify; see Stanford Graduate Admissions fee-waiver page for eligibility</t>
        </is>
      </c>
      <c r="K39" s="4" t="inlineStr">
        <is>
          <t>Required</t>
        </is>
      </c>
      <c r="L39" s="4" t="inlineStr">
        <is>
          <t>Required</t>
        </is>
      </c>
      <c r="M39" s="4" t="inlineStr">
        <is>
          <t>Not stated</t>
        </is>
      </c>
      <c r="N39" s="4" t="inlineStr">
        <is>
          <t>Yes</t>
        </is>
      </c>
      <c r="O39" s="4" t="inlineStr">
        <is>
          <t>Not required if your degree (or international equivalent) is from a university where ALL instruction was in English; no documents needed at application</t>
        </is>
      </c>
      <c r="P39" s="4" t="inlineStr">
        <is>
          <t>Not stated</t>
        </is>
      </c>
      <c r="Q39" s="4" t="inlineStr">
        <is>
          <t>No pre-application supervisor requirement mentioned (you choose theory/experiment/astro area)</t>
        </is>
      </c>
      <c r="R39" s="4" t="inlineStr">
        <is>
          <t>Guaranteed</t>
        </is>
      </c>
      <c r="S39" s="4" t="inlineStr">
        <is>
          <t>Department provides financial support for all enrolled students</t>
        </is>
      </c>
      <c r="T39" s="4" t="inlineStr">
        <is>
          <t>Not stated</t>
        </is>
      </c>
      <c r="U39" s="4" t="inlineStr">
        <is>
          <t>Two GRE requirements make Stanford one of the most test-heavy programs this cycle.</t>
        </is>
      </c>
      <c r="V39" s="5" t="inlineStr">
        <is>
          <t>https://physics.stanford.edu/graduate/graduate-admissions</t>
        </is>
      </c>
      <c r="W39" s="4" t="inlineStr">
        <is>
          <t>2026-10-21</t>
        </is>
      </c>
    </row>
    <row r="40">
      <c r="A40" s="4" t="inlineStr">
        <is>
          <t>Stockholm</t>
        </is>
      </c>
      <c r="B40" s="4" t="inlineStr">
        <is>
          <t>Stockholm University · Department of Physics (Fysikum)</t>
        </is>
      </c>
      <c r="C40" s="4" t="inlineStr">
        <is>
          <t>Sweden</t>
        </is>
      </c>
      <c r="D40" s="4" t="inlineStr">
        <is>
          <t>Stockholm</t>
        </is>
      </c>
      <c r="E40" s="4" t="inlineStr">
        <is>
          <t>Per position</t>
        </is>
      </c>
      <c r="F40" s="4" t="inlineStr">
        <is>
          <t>No central deadline: positions are advertised on the department vacancies page about four times a year (normally Feb, Apr, Sep, Oct), each with its own deadline. The page lists only 2025 dates</t>
        </is>
      </c>
      <c r="G40" s="4" t="inlineStr">
        <is>
          <t>Not stated</t>
        </is>
      </c>
      <c r="H40" s="4" t="inlineStr"/>
      <c r="I40" s="4" t="inlineStr">
        <is>
          <t>Not stated</t>
        </is>
      </c>
      <c r="J40" s="4" t="inlineStr">
        <is>
          <t>Not stated on the page checked</t>
        </is>
      </c>
      <c r="K40" s="4" t="inlineStr">
        <is>
          <t>Not stated</t>
        </is>
      </c>
      <c r="L40" s="4" t="inlineStr">
        <is>
          <t>Not stated</t>
        </is>
      </c>
      <c r="M40" s="4" t="inlineStr">
        <is>
          <t>79</t>
        </is>
      </c>
      <c r="N40" s="4" t="inlineStr">
        <is>
          <t>Yes</t>
        </is>
      </c>
      <c r="O40" s="4" t="inlineStr">
        <is>
          <t>A previously completed university degree taught in English is listed as meeting the English requirement (as an alternative to IELTS/TOEFL)</t>
        </is>
      </c>
      <c r="P40" s="4" t="inlineStr">
        <is>
          <t>Required</t>
        </is>
      </c>
      <c r="Q40" s="4" t="inlineStr">
        <is>
          <t>You apply to a specific advertised position and are assessed against the other applicants for it; at least two supervisors are appointed in connection with admission</t>
        </is>
      </c>
      <c r="R40" s="4" t="inlineStr">
        <is>
          <t>Guaranteed</t>
        </is>
      </c>
      <c r="S40" s="4" t="inlineStr">
        <is>
          <t>Funding for the whole study period (normally 4 years) is a condition of admission; in most cases you are employed as a PhD student with a salary</t>
        </is>
      </c>
      <c r="T40" s="4" t="inlineStr">
        <is>
          <t>Master's usually required</t>
        </is>
      </c>
      <c r="U40" s="4" t="inlineStr">
        <is>
          <t>Fysikum's doctoral subjects are Physics, Theoretical Physics, Chemical Physics and Medical Radiation Physics. Applicants not known from SU undergraduate studies normally have to show their qualifications by taking one or two advanced-level courses or doing a suitable project (eligibility page). The call dates on the page are for 2025; check the department vacancies page for the 2026-27 calls.</t>
        </is>
      </c>
      <c r="V40" s="5" t="inlineStr">
        <is>
          <t>https://www.su.se/english/divisions/department-of-physics/education/courses-and-programmes/doctoral-studies-at-the-department-of-physics</t>
        </is>
      </c>
      <c r="W40" s="4" t="inlineStr">
        <is>
          <t>2026-10-21</t>
        </is>
      </c>
    </row>
    <row r="41">
      <c r="A41" s="4" t="inlineStr">
        <is>
          <t>Stony Brook</t>
        </is>
      </c>
      <c r="B41" s="4" t="inlineStr">
        <is>
          <t>Stony Brook University (SUNY) · Physics and Astronomy</t>
        </is>
      </c>
      <c r="C41" s="4" t="inlineStr">
        <is>
          <t>USA</t>
        </is>
      </c>
      <c r="D41" s="4" t="inlineStr">
        <is>
          <t>New York</t>
        </is>
      </c>
      <c r="E41" s="6" t="n">
        <v>46371</v>
      </c>
      <c r="F41" s="4" t="inlineStr">
        <is>
          <t>One strict deadline: December 15 (PhD and MSI, Fall). Year inferred.</t>
        </is>
      </c>
      <c r="G41" s="4" t="n">
        <v>100</v>
      </c>
      <c r="H41" s="4" t="inlineStr">
        <is>
          <t>USD</t>
        </is>
      </c>
      <c r="I41" s="4" t="inlineStr">
        <is>
          <t>Domestic only</t>
        </is>
      </c>
      <c r="J41" s="4" t="inlineStr">
        <is>
          <t>Graduate School waivers for domestic (US) applicants; a separate department program covers fees for Latin American applicants</t>
        </is>
      </c>
      <c r="K41" s="4" t="inlineStr">
        <is>
          <t>Not considered</t>
        </is>
      </c>
      <c r="L41" s="4" t="inlineStr">
        <is>
          <t>Not considered</t>
        </is>
      </c>
      <c r="M41" s="4" t="inlineStr">
        <is>
          <t>5 (new scale)</t>
        </is>
      </c>
      <c r="N41" s="4" t="inlineStr">
        <is>
          <t>Yes</t>
        </is>
      </c>
      <c r="O41" s="4" t="inlineStr">
        <is>
          <t>Exemption examples include a degree from an English-instruction institution</t>
        </is>
      </c>
      <c r="P41" s="4" t="inlineStr">
        <is>
          <t>Not stated</t>
        </is>
      </c>
      <c r="Q41" s="4" t="inlineStr">
        <is>
          <t>No pre-application supervisor requirement mentioned</t>
        </is>
      </c>
      <c r="R41" s="4" t="inlineStr">
        <is>
          <t>Guaranteed</t>
        </is>
      </c>
      <c r="S41" s="4" t="inlineStr">
        <is>
          <t>Full support for the duration; 9-month TA stipend USD 30,000 (+8,000 summer TA); RA salary 41,000 (2026)</t>
        </is>
      </c>
      <c r="T41" s="4" t="inlineStr">
        <is>
          <t>Not stated</t>
        </is>
      </c>
      <c r="U41" s="4" t="inlineStr">
        <is>
          <t>Decisions only after December 15; offers must be accepted by April 15.</t>
        </is>
      </c>
      <c r="V41" s="5" t="inlineStr">
        <is>
          <t>https://www.stonybrook.edu/physics/graduate/apply.html</t>
        </is>
      </c>
      <c r="W41" s="4" t="inlineStr">
        <is>
          <t>2026-10-21</t>
        </is>
      </c>
    </row>
    <row r="42">
      <c r="A42" s="4" t="inlineStr">
        <is>
          <t>TU Munich</t>
        </is>
      </c>
      <c r="B42" s="4" t="inlineStr">
        <is>
          <t>Technical University of Munich (TUM) · Doctorate in Physics (TUM School of Natural Sciences; TUM Graduate School rules)</t>
        </is>
      </c>
      <c r="C42" s="4" t="inlineStr">
        <is>
          <t>Germany</t>
        </is>
      </c>
      <c r="D42" s="4" t="inlineStr">
        <is>
          <t>Bavaria</t>
        </is>
      </c>
      <c r="E42" s="4" t="inlineStr">
        <is>
          <t>Per position</t>
        </is>
      </c>
      <c r="F42" s="4" t="inlineStr">
        <is>
          <t>No central application or deadline: apply to advertised research-associate positions (TUM job portal or chair websites) or directly to a potential supervisor</t>
        </is>
      </c>
      <c r="G42" s="4" t="inlineStr">
        <is>
          <t>Not stated</t>
        </is>
      </c>
      <c r="H42" s="4" t="inlineStr"/>
      <c r="I42" s="4" t="inlineStr">
        <is>
          <t>Not stated</t>
        </is>
      </c>
      <c r="J42" s="4" t="inlineStr">
        <is>
          <t>Not stated on the page checked</t>
        </is>
      </c>
      <c r="K42" s="4" t="inlineStr">
        <is>
          <t>Not stated</t>
        </is>
      </c>
      <c r="L42" s="4" t="inlineStr">
        <is>
          <t>Not stated</t>
        </is>
      </c>
      <c r="M42" s="4" t="inlineStr">
        <is>
          <t>Not stated</t>
        </is>
      </c>
      <c r="N42" s="4" t="inlineStr">
        <is>
          <t>Yes</t>
        </is>
      </c>
      <c r="O42" s="4" t="inlineStr">
        <is>
          <t>No formal language requirement for doctoral admission at TUM level (very good English expected); individual job ads may set their own language requirements</t>
        </is>
      </c>
      <c r="P42" s="4" t="inlineStr">
        <is>
          <t>Required</t>
        </is>
      </c>
      <c r="Q42" s="4" t="inlineStr">
        <is>
          <t>Finding a TUM supervisor is the first and mandatory step; degree recognition happens only after a professor agrees</t>
        </is>
      </c>
      <c r="R42" s="4" t="inlineStr">
        <is>
          <t>Typical</t>
        </is>
      </c>
      <c r="S42" s="4" t="inlineStr">
        <is>
          <t>The most common route is a salaried research-associate position; self-initiative applicants usually need their own funding (e.g. an external scholarship). No tuition fees</t>
        </is>
      </c>
      <c r="T42" s="4" t="inlineStr">
        <is>
          <t>Master's usually required</t>
        </is>
      </c>
      <c r="U42" s="4" t="inlineStr">
        <is>
          <t>Individual doctorate model with no physics-specific call; rules quoted are TUM-wide (TUM Graduate School). Physics doctorates are handled by the TUM School of Natural Sciences (promotion@nat.tum.de).</t>
        </is>
      </c>
      <c r="V42" s="5" t="inlineStr">
        <is>
          <t>https://www.gs.tum.de/en/gs/path-to-a-doctorate/application/requirements/</t>
        </is>
      </c>
      <c r="W42" s="4" t="inlineStr">
        <is>
          <t>2026-10-21</t>
        </is>
      </c>
    </row>
    <row r="43">
      <c r="A43" s="4" t="inlineStr">
        <is>
          <t>Texas A&amp;M</t>
        </is>
      </c>
      <c r="B43" s="4" t="inlineStr">
        <is>
          <t>Texas A&amp;M University · Physics and Astronomy</t>
        </is>
      </c>
      <c r="C43" s="4" t="inlineStr">
        <is>
          <t>USA</t>
        </is>
      </c>
      <c r="D43" s="4" t="inlineStr">
        <is>
          <t>Texas</t>
        </is>
      </c>
      <c r="E43" s="6" t="n">
        <v>46397</v>
      </c>
      <c r="F43" s="4" t="inlineStr">
        <is>
          <t>January 10, 2027 (later applications accepted but processed after)</t>
        </is>
      </c>
      <c r="G43" s="4" t="n">
        <v>114</v>
      </c>
      <c r="H43" s="4" t="inlineStr">
        <is>
          <t>USD</t>
        </is>
      </c>
      <c r="I43" s="4" t="inlineStr">
        <is>
          <t>Domestic only</t>
        </is>
      </c>
      <c r="J43" s="4" t="inlineStr">
        <is>
          <t>Automatic waiver for Pell Grant or McNair recipients (U.S. programs); no international route stated on the pages checked</t>
        </is>
      </c>
      <c r="K43" s="4" t="inlineStr">
        <is>
          <t>Optional</t>
        </is>
      </c>
      <c r="L43" s="4" t="inlineStr">
        <is>
          <t>Optional</t>
        </is>
      </c>
      <c r="M43" s="4" t="inlineStr">
        <is>
          <t>Not stated</t>
        </is>
      </c>
      <c r="N43" s="4" t="inlineStr">
        <is>
          <t>Not stated</t>
        </is>
      </c>
      <c r="O43" s="4" t="inlineStr">
        <is>
          <t>Not stated on the pages checked</t>
        </is>
      </c>
      <c r="P43" s="4" t="inlineStr">
        <is>
          <t>Not stated</t>
        </is>
      </c>
      <c r="Q43" s="4" t="inlineStr">
        <is>
          <t>No pre-application supervisor requirement mentioned</t>
        </is>
      </c>
      <c r="R43" s="4" t="inlineStr">
        <is>
          <t>Not stated</t>
        </is>
      </c>
      <c r="S43" s="4" t="inlineStr">
        <is>
          <t>Not stated on the pages checked</t>
        </is>
      </c>
      <c r="T43" s="4" t="inlineStr">
        <is>
          <t>Not stated</t>
        </is>
      </c>
      <c r="U43" s="4" t="inlineStr">
        <is>
          <t>Physics and Astronomy use separate application forms. Decisions must be returned by April 15.</t>
        </is>
      </c>
      <c r="V43" s="5" t="inlineStr">
        <is>
          <t>https://artsci.tamu.edu/physics-astronomy/academics/prospective-graduates/how-to-apply.html</t>
        </is>
      </c>
      <c r="W43" s="4" t="inlineStr">
        <is>
          <t>2026-10-21</t>
        </is>
      </c>
    </row>
    <row r="44">
      <c r="A44" s="4" t="inlineStr">
        <is>
          <t>Ohio State</t>
        </is>
      </c>
      <c r="B44" s="4" t="inlineStr">
        <is>
          <t>The Ohio State University · Department of Physics</t>
        </is>
      </c>
      <c r="C44" s="4" t="inlineStr">
        <is>
          <t>USA</t>
        </is>
      </c>
      <c r="D44" s="4" t="inlineStr">
        <is>
          <t>Ohio</t>
        </is>
      </c>
      <c r="E44" s="6" t="n">
        <v>46356</v>
      </c>
      <c r="F44" s="4" t="inlineStr">
        <is>
          <t>Best consideration: November 30 (international) or December 15 (domestic); December 1 for automatic fellowship nomination; late applications until April 14 with much less funding. Years inferred.</t>
        </is>
      </c>
      <c r="G44" s="4" t="n">
        <v>70</v>
      </c>
      <c r="H44" s="4" t="inlineStr">
        <is>
          <t>USD</t>
        </is>
      </c>
      <c r="I44" s="4" t="inlineStr">
        <is>
          <t>Limited</t>
        </is>
      </c>
      <c r="J44" s="4" t="inlineStr">
        <is>
          <t>Extremely limited; same criteria for international and domestic; based on alignment with the department's mission; none for late submissions</t>
        </is>
      </c>
      <c r="K44" s="4" t="inlineStr">
        <is>
          <t>Optional</t>
        </is>
      </c>
      <c r="L44" s="4" t="inlineStr">
        <is>
          <t>Optional</t>
        </is>
      </c>
      <c r="M44" s="4" t="inlineStr">
        <is>
          <t>Not stated</t>
        </is>
      </c>
      <c r="N44" s="4" t="inlineStr">
        <is>
          <t>No</t>
        </is>
      </c>
      <c r="O44" s="4" t="inlineStr">
        <is>
          <t>Exempt only by citizenship of, or a bachelor's from, a listed country; English-taught courses alone do not exempt you</t>
        </is>
      </c>
      <c r="P44" s="4" t="inlineStr">
        <is>
          <t>Not stated</t>
        </is>
      </c>
      <c r="Q44" s="4" t="inlineStr">
        <is>
          <t>No pre-application supervisor requirement mentioned</t>
        </is>
      </c>
      <c r="R44" s="4" t="inlineStr">
        <is>
          <t>Typical</t>
        </is>
      </c>
      <c r="S44" s="4" t="inlineStr">
        <is>
          <t>TA/RA appointments include a monthly stipend and full tuition and general-fee waiver; RA stipend equals TA stipend</t>
        </is>
      </c>
      <c r="T44" s="4" t="inlineStr">
        <is>
          <t>Direct from bachelor's</t>
        </is>
      </c>
      <c r="U44" s="4" t="inlineStr">
        <is>
          <t>International applicants need a four-year degree (Higher National Diplomas excluded).</t>
        </is>
      </c>
      <c r="V44" s="5" t="inlineStr">
        <is>
          <t>https://physics.osu.edu/graduate/prospective-students</t>
        </is>
      </c>
      <c r="W44" s="4" t="inlineStr">
        <is>
          <t>2026-10-21</t>
        </is>
      </c>
    </row>
    <row r="45">
      <c r="A45" s="4" t="inlineStr">
        <is>
          <t>Trinity College Dublin</t>
        </is>
      </c>
      <c r="B45" s="4" t="inlineStr">
        <is>
          <t>Trinity College Dublin · School of Physics (PhD by research)</t>
        </is>
      </c>
      <c r="C45" s="4" t="inlineStr">
        <is>
          <t>Ireland</t>
        </is>
      </c>
      <c r="D45" s="4" t="inlineStr">
        <is>
          <t>Leinster (Dublin)</t>
        </is>
      </c>
      <c r="E45" s="4" t="inlineStr">
        <is>
          <t>Rolling</t>
        </is>
      </c>
      <c r="F45" s="4" t="inlineStr">
        <is>
          <t>No closing date for research degrees; two registration periods (1 September and 1 March), most start in September. Apply early: supervisory capacity is limited. Funded project adverts set their own deadlines.</t>
        </is>
      </c>
      <c r="G45" s="4" t="inlineStr">
        <is>
          <t>Not stated</t>
        </is>
      </c>
      <c r="H45" s="4" t="inlineStr"/>
      <c r="I45" s="4" t="inlineStr">
        <is>
          <t>None</t>
        </is>
      </c>
      <c r="J45" s="4" t="inlineStr">
        <is>
          <t>Application fee cannot be waived</t>
        </is>
      </c>
      <c r="K45" s="4" t="inlineStr">
        <is>
          <t>Not stated</t>
        </is>
      </c>
      <c r="L45" s="4" t="inlineStr">
        <is>
          <t>Not stated</t>
        </is>
      </c>
      <c r="M45" s="4" t="inlineStr">
        <is>
          <t>90</t>
        </is>
      </c>
      <c r="N45" s="4" t="inlineStr">
        <is>
          <t>Conditional</t>
        </is>
      </c>
      <c r="O45" s="4" t="inlineStr">
        <is>
          <t>PG applicants whose primary degree was taught through English may request an exemption, with a formal letter from the awarding institution stating the degree was delivered wholly in English; the course director must approve, then Admissions considers it</t>
        </is>
      </c>
      <c r="P45" s="4" t="inlineStr">
        <is>
          <t>Required</t>
        </is>
      </c>
      <c r="Q45" s="4" t="inlineStr">
        <is>
          <t>Get a potential supervisor's approval first; the formal application link is sent only after a supervisor offers you a place</t>
        </is>
      </c>
      <c r="R45" s="4" t="inlineStr">
        <is>
          <t>Typical</t>
        </is>
      </c>
      <c r="S45" s="4" t="inlineStr">
        <is>
          <t>Most students are funded (fees + stipend) by national/international bodies, usually tied to specific projects; unfunded applicants must win funding (e.g. IRC, TCD/School studentships, which are extremely competitive). Some funded adverts are restricted to EU/EEA/UK applicants.</t>
        </is>
      </c>
      <c r="T45" s="4" t="inlineStr">
        <is>
          <t>Direct from bachelor's</t>
        </is>
      </c>
      <c r="U45" s="4" t="inlineStr">
        <is>
          <t>PhD normally takes about four years; start dates 1 September or 1 March. Funded projects are advertised on the School's postgraduate page (adverts there on 2026-10-21 were from 2024-25). Fee status (EU vs non-EU) affects tuition, so check each advert's eligibility.</t>
        </is>
      </c>
      <c r="V45" s="5" t="inlineStr">
        <is>
          <t>https://www.tcd.ie/physics/study/prospective/postgraduate/how-to-apply/</t>
        </is>
      </c>
      <c r="W45" s="4" t="inlineStr">
        <is>
          <t>2026-10-21</t>
        </is>
      </c>
    </row>
    <row r="46">
      <c r="A46" s="4" t="inlineStr">
        <is>
          <t>Bonn-Cologne (BCGS)</t>
        </is>
      </c>
      <c r="B46" s="4" t="inlineStr">
        <is>
          <t>Universities of Bonn and Cologne · Bonn-Cologne Graduate School of Physics and Astronomy (BCGS)</t>
        </is>
      </c>
      <c r="C46" s="4" t="inlineStr">
        <is>
          <t>Germany</t>
        </is>
      </c>
      <c r="D46" s="4" t="inlineStr">
        <is>
          <t>North Rhine-Westphalia</t>
        </is>
      </c>
      <c r="E46" s="4" t="inlineStr">
        <is>
          <t>Rolling</t>
        </is>
      </c>
      <c r="F46" s="4" t="inlineStr">
        <is>
          <t>No PhD deadline: start any time by individual arrangement with a supervisor</t>
        </is>
      </c>
      <c r="G46" s="4" t="inlineStr">
        <is>
          <t>Not stated</t>
        </is>
      </c>
      <c r="H46" s="4" t="inlineStr"/>
      <c r="I46" s="4" t="inlineStr">
        <is>
          <t>Not stated</t>
        </is>
      </c>
      <c r="J46" s="4" t="inlineStr">
        <is>
          <t>Not stated on the page checked</t>
        </is>
      </c>
      <c r="K46" s="4" t="inlineStr">
        <is>
          <t>Not stated</t>
        </is>
      </c>
      <c r="L46" s="4" t="inlineStr">
        <is>
          <t>Not stated</t>
        </is>
      </c>
      <c r="M46" s="4" t="inlineStr">
        <is>
          <t>Not stated</t>
        </is>
      </c>
      <c r="N46" s="4" t="inlineStr">
        <is>
          <t>Not stated</t>
        </is>
      </c>
      <c r="O46" s="4" t="inlineStr">
        <is>
          <t>Not stated</t>
        </is>
      </c>
      <c r="P46" s="4" t="inlineStr">
        <is>
          <t>Required</t>
        </is>
      </c>
      <c r="Q46" s="4" t="inlineStr">
        <is>
          <t>BCGS does not provide PhD positions: find and apply for a PhD position (with a supervisor) at Bonn or Cologne yourself</t>
        </is>
      </c>
      <c r="R46" s="4" t="inlineStr">
        <is>
          <t>Not stated</t>
        </is>
      </c>
      <c r="S46" s="4" t="inlineStr">
        <is>
          <t>Funding comes with the PhD position you secure; not stated centrally</t>
        </is>
      </c>
      <c r="T46" s="4" t="inlineStr">
        <is>
          <t>Not stated</t>
        </is>
      </c>
      <c r="U46" s="4" t="inlineStr">
        <is>
          <t>PhD usually 3 years. Look at the University of Bonn and Cologne vacancy pages for advertised positions.</t>
        </is>
      </c>
      <c r="V46" s="5" t="inlineStr">
        <is>
          <t>https://www.uni-bonn.de/de/forschung-lehre/early-career/eine-promotion-planen/spps/bigs-physics-and-astronomy</t>
        </is>
      </c>
      <c r="W46" s="4" t="inlineStr">
        <is>
          <t>2026-10-21</t>
        </is>
      </c>
    </row>
    <row r="47">
      <c r="A47" s="4" t="inlineStr">
        <is>
          <t>Alberta</t>
        </is>
      </c>
      <c r="B47" s="4" t="inlineStr">
        <is>
          <t>University of Alberta · Department of Physics</t>
        </is>
      </c>
      <c r="C47" s="4" t="inlineStr">
        <is>
          <t>Canada</t>
        </is>
      </c>
      <c r="D47" s="4" t="inlineStr">
        <is>
          <t>Alberta</t>
        </is>
      </c>
      <c r="E47" s="6" t="n">
        <v>46357</v>
      </c>
      <c r="F47" s="4" t="inlineStr">
        <is>
          <t>December 1 first-round deadline (widest scholarship consideration); January 8 second round; March 31 final date for Fall intake. Years inferred for Fall 2027.</t>
        </is>
      </c>
      <c r="G47" s="4" t="inlineStr">
        <is>
          <t>Not stated</t>
        </is>
      </c>
      <c r="H47" s="4" t="inlineStr"/>
      <c r="I47" s="4" t="inlineStr">
        <is>
          <t>None</t>
        </is>
      </c>
      <c r="J47" s="4" t="inlineStr">
        <is>
          <t>Department says the fee cannot be waived</t>
        </is>
      </c>
      <c r="K47" s="4" t="inlineStr">
        <is>
          <t>Not stated</t>
        </is>
      </c>
      <c r="L47" s="4" t="inlineStr">
        <is>
          <t>Not stated</t>
        </is>
      </c>
      <c r="M47" s="4" t="inlineStr">
        <is>
          <t>90</t>
        </is>
      </c>
      <c r="N47" s="4" t="inlineStr">
        <is>
          <t>Conditional</t>
        </is>
      </c>
      <c r="O47" s="4" t="inlineStr">
        <is>
          <t>Exempt only if your country or institution is on the FGPS recognized list. For India it lists e.g. IITs (all campuses), IISc, University of Hyderabad, Jadavpur, NIT Calicut; IISERs are NOT listed. Physics will not waive otherwise.</t>
        </is>
      </c>
      <c r="P47" s="4" t="inlineStr">
        <is>
          <t>Not stated</t>
        </is>
      </c>
      <c r="Q47" s="4" t="inlineStr">
        <is>
          <t>Physics pages do not state a pre-application supervisor requirement; FGPS notes some thesis programs require one</t>
        </is>
      </c>
      <c r="R47" s="4" t="inlineStr">
        <is>
          <t>Guaranteed</t>
        </is>
      </c>
      <c r="S47" s="4" t="inlineStr">
        <is>
          <t>Minimum CAD 100,000 over years 1-4 and at least CAD 25,000 in year 1 for PhD students (from Fall 2025); department also commits support for normal program duration</t>
        </is>
      </c>
      <c r="T47" s="4" t="inlineStr">
        <is>
          <t>Either</t>
        </is>
      </c>
      <c r="U47" s="4" t="inlineStr">
        <is>
          <t>Statement of purpose: 500 words max, one page. About 30 graduate admits per year. Committee meets late December, mid-January, late February, late March.</t>
        </is>
      </c>
      <c r="V47" s="5" t="inlineStr">
        <is>
          <t>https://www.ualberta.ca/en/physics/graduate-studies/information-for-prospective-students-and-applicants/deadlines.html</t>
        </is>
      </c>
      <c r="W47" s="4" t="inlineStr">
        <is>
          <t>2026-10-21</t>
        </is>
      </c>
    </row>
    <row r="48">
      <c r="A48" s="4" t="inlineStr">
        <is>
          <t>Amsterdam (UvA)</t>
        </is>
      </c>
      <c r="B48" s="4" t="inlineStr">
        <is>
          <t>University of Amsterdam · Institute of Physics (IoP), Faculty of Science</t>
        </is>
      </c>
      <c r="C48" s="4" t="inlineStr">
        <is>
          <t>Netherlands</t>
        </is>
      </c>
      <c r="D48" s="4" t="inlineStr">
        <is>
          <t>North Holland (Amsterdam)</t>
        </is>
      </c>
      <c r="E48" s="4" t="inlineStr">
        <is>
          <t>Per position</t>
        </is>
      </c>
      <c r="F48" s="4" t="inlineStr">
        <is>
          <t>No central deadline: apply to an advertised vacancy (each has its own deadline) or send an open application to a research school or supervisor</t>
        </is>
      </c>
      <c r="G48" s="4" t="inlineStr">
        <is>
          <t>Not stated</t>
        </is>
      </c>
      <c r="H48" s="4" t="inlineStr"/>
      <c r="I48" s="4" t="inlineStr">
        <is>
          <t>Not stated</t>
        </is>
      </c>
      <c r="J48" s="4" t="inlineStr">
        <is>
          <t>Not stated on the page checked</t>
        </is>
      </c>
      <c r="K48" s="4" t="inlineStr">
        <is>
          <t>Not stated</t>
        </is>
      </c>
      <c r="L48" s="4" t="inlineStr">
        <is>
          <t>Not stated</t>
        </is>
      </c>
      <c r="M48" s="4" t="inlineStr">
        <is>
          <t>Not stated</t>
        </is>
      </c>
      <c r="N48" s="4" t="inlineStr">
        <is>
          <t>Not stated</t>
        </is>
      </c>
      <c r="O48" s="4" t="inlineStr">
        <is>
          <t>Not stated on the page checked</t>
        </is>
      </c>
      <c r="P48" s="4" t="inlineStr">
        <is>
          <t>Required</t>
        </is>
      </c>
      <c r="Q48" s="4" t="inlineStr">
        <is>
          <t>An authorised supervisor (with the right to award doctorates) must agree to accept you; a second supervisor is always appointed</t>
        </is>
      </c>
      <c r="R48" s="4" t="inlineStr">
        <is>
          <t>Typical</t>
        </is>
      </c>
      <c r="S48" s="4" t="inlineStr">
        <is>
          <t>Vacancy positions are salaried UvA employment; an open application may come without UvA funding, in which case you need a grant, scholarship, employer or your own money</t>
        </is>
      </c>
      <c r="T48" s="4" t="inlineStr">
        <is>
          <t>Master's usually required</t>
        </is>
      </c>
      <c r="U48" s="4" t="inlineStr">
        <is>
          <t>These are UvA-wide pages; the Institute of Physics lists its PhD openings through the UvA vacancies site. The admission page requires 'a good command of English' and says a faculty or institute may add language requirements; no test minimum was found.</t>
        </is>
      </c>
      <c r="V48" s="5" t="inlineStr">
        <is>
          <t>https://www.uva.nl/en/research/phd/admission-to-a-doctoral-programme/admission-to-a-doctoral-programme.html</t>
        </is>
      </c>
      <c r="W48" s="4" t="inlineStr">
        <is>
          <t>2026-10-21</t>
        </is>
      </c>
    </row>
    <row r="49">
      <c r="A49" s="4" t="inlineStr">
        <is>
          <t>University of Arizona</t>
        </is>
      </c>
      <c r="B49" s="4" t="inlineStr">
        <is>
          <t>University of Arizona · Department of Physics</t>
        </is>
      </c>
      <c r="C49" s="4" t="inlineStr">
        <is>
          <t>USA</t>
        </is>
      </c>
      <c r="D49" s="4" t="inlineStr">
        <is>
          <t>Arizona</t>
        </is>
      </c>
      <c r="E49" s="6" t="n">
        <v>46357</v>
      </c>
      <c r="F49" s="4" t="inlineStr">
        <is>
          <t>December 1, 2026 (applications open October 1, 2026); FAQ says later applications are often still considered</t>
        </is>
      </c>
      <c r="G49" s="4" t="n">
        <v>90</v>
      </c>
      <c r="H49" s="4" t="inlineStr">
        <is>
          <t>USD</t>
        </is>
      </c>
      <c r="I49" s="4" t="inlineStr">
        <is>
          <t>Limited</t>
        </is>
      </c>
      <c r="J49" s="4" t="inlineStr">
        <is>
          <t>Waivers for participants of listed sponsored programs (mostly U.S. schemes such as McNair, TRIO, GEM; list also includes Latin American summer/winter research programs) and need-based waivers on request to the program coordinator with evidence such as U.S. federal grants (Pell); no explicit statement on international eligibility</t>
        </is>
      </c>
      <c r="K49" s="4" t="inlineStr">
        <is>
          <t>Optional</t>
        </is>
      </c>
      <c r="L49" s="4" t="inlineStr">
        <is>
          <t>Optional</t>
        </is>
      </c>
      <c r="M49" s="4" t="inlineStr">
        <is>
          <t>79</t>
        </is>
      </c>
      <c r="N49" s="4" t="inlineStr">
        <is>
          <t>Yes</t>
        </is>
      </c>
      <c r="O49" s="4" t="inlineStr">
        <is>
          <t>Graduate College exempts citizens of countries where English is an official language, and its country table lists India as "test required: No". CONFLICT: the department page literally says proof is required for applicants who "do not hold a degree from a US institution", then defers to the Graduate College country list; confirm with the department. Separately, international TAs from non-English-dominant countries must pass a spoken-English evaluation.</t>
        </is>
      </c>
      <c r="P49" s="4" t="inlineStr">
        <is>
          <t>Not required</t>
        </is>
      </c>
      <c r="Q49" s="4" t="inlineStr">
        <is>
          <t>Admission is department-wide, not tied to a research group; contacting faculty is not needed to gain admission</t>
        </is>
      </c>
      <c r="R49" s="4" t="inlineStr">
        <is>
          <t>Guaranteed</t>
        </is>
      </c>
      <c r="S49" s="4" t="inlineStr">
        <is>
          <t>All admitted PhD students guaranteed TA or RA funding for at least the first two years; department strives to continue it with satisfactory progress</t>
        </is>
      </c>
      <c r="T49" s="4" t="inlineStr">
        <is>
          <t>Not stated</t>
        </is>
      </c>
      <c r="U49" s="4" t="inlineStr">
        <is>
          <t>Graduate College country table lists the minimum degree for India as a 3-year bachelor showing 120 or more credits. Duolingo is not accepted.</t>
        </is>
      </c>
      <c r="V49" s="5" t="inlineStr">
        <is>
          <t>https://physics.arizona.edu/graduate-studies/apply-programs/phd-application-procedure</t>
        </is>
      </c>
      <c r="W49" s="4" t="inlineStr">
        <is>
          <t>2026-10-21</t>
        </is>
      </c>
    </row>
    <row r="50">
      <c r="A50" s="4" t="inlineStr">
        <is>
          <t>Bristol</t>
        </is>
      </c>
      <c r="B50" s="4" t="inlineStr">
        <is>
          <t>University of Bristol · School of Physics</t>
        </is>
      </c>
      <c r="C50" s="4" t="inlineStr">
        <is>
          <t>United Kingdom</t>
        </is>
      </c>
      <c r="D50" s="4" t="inlineStr">
        <is>
          <t>England</t>
        </is>
      </c>
      <c r="E50" s="6" t="n">
        <v>46404</v>
      </c>
      <c r="F50" s="4" t="inlineStr">
        <is>
          <t>Funding deadline: applications must be received before Jan 18, 2027 (i.e. by Jan 17) for full consideration for UKRI, University of Bristol or School of Physics funding; apply as soon as possible after the cycle opens in October. Later applications are not considered once the programme is full.</t>
        </is>
      </c>
      <c r="G50" s="4" t="inlineStr">
        <is>
          <t>Not stated</t>
        </is>
      </c>
      <c r="H50" s="4" t="inlineStr"/>
      <c r="I50" s="4" t="inlineStr">
        <is>
          <t>Not stated</t>
        </is>
      </c>
      <c r="J50" s="4" t="inlineStr">
        <is>
          <t>Not stated on the page checked</t>
        </is>
      </c>
      <c r="K50" s="4" t="inlineStr">
        <is>
          <t>Not stated</t>
        </is>
      </c>
      <c r="L50" s="4" t="inlineStr">
        <is>
          <t>Not stated</t>
        </is>
      </c>
      <c r="M50" s="4" t="inlineStr">
        <is>
          <t>4.5 (new scale)</t>
        </is>
      </c>
      <c r="N50" s="4" t="inlineStr">
        <is>
          <t>Yes</t>
        </is>
      </c>
      <c r="O50" s="4" t="inlineStr">
        <is>
          <t>A degree from any country counts if it was fully taught and examined in English, shown by an official Medium of Instruction (MOI) letter from the awarding institution. It must have been awarded no more than 7 years before the start, and the University may still ask for more evidence.</t>
        </is>
      </c>
      <c r="P50" s="4" t="inlineStr">
        <is>
          <t>Recommended</t>
        </is>
      </c>
      <c r="Q50" s="4" t="inlineStr">
        <is>
          <t>Encouraged to contact the research theme's academic lead or a potential supervisor informally before applying; if you have already contacted one, name them on the form</t>
        </is>
      </c>
      <c r="R50" s="4" t="inlineStr">
        <is>
          <t>Competitive</t>
        </is>
      </c>
      <c r="S50" s="4" t="inlineStr">
        <is>
          <t>The School's PhD scholarships are awarded competitively; it also typically receives some University of Bristol PGR Scholarships. Applicants bringing home-country, Commonwealth or other scholarships are welcomed.</t>
        </is>
      </c>
      <c r="T50" s="4" t="inlineStr">
        <is>
          <t>Master's usually required</t>
        </is>
      </c>
      <c r="U50" s="4" t="inlineStr">
        <is>
          <t>The admissions statement linked from the page is still for 2026 entry (the 2027 version is due in the autumn). The University's 2025-26 application-fee policy (a PDF, not machine-checked) lists fees only for Business School and Economics taught programmes.</t>
        </is>
      </c>
      <c r="V50" s="5" t="inlineStr">
        <is>
          <t>https://www.bristol.ac.uk/study/postgraduate/research/physics/</t>
        </is>
      </c>
      <c r="W50" s="4" t="inlineStr">
        <is>
          <t>2026-10-21</t>
        </is>
      </c>
    </row>
    <row r="51">
      <c r="A51" s="4" t="inlineStr">
        <is>
          <t>UBC</t>
        </is>
      </c>
      <c r="B51" s="4" t="inlineStr">
        <is>
          <t>University of British Columbia (Vancouver) · Physics and Astronomy</t>
        </is>
      </c>
      <c r="C51" s="4" t="inlineStr">
        <is>
          <t>Canada</t>
        </is>
      </c>
      <c r="D51" s="4" t="inlineStr">
        <is>
          <t>British Columbia</t>
        </is>
      </c>
      <c r="E51" s="6" t="n">
        <v>46357</v>
      </c>
      <c r="F51" s="4" t="inlineStr">
        <is>
          <t>1 December 2026 for September 2027 intake</t>
        </is>
      </c>
      <c r="G51" s="4" t="n">
        <v>168.25</v>
      </c>
      <c r="H51" s="4" t="inlineStr">
        <is>
          <t>CAD</t>
        </is>
      </c>
      <c r="I51" s="4" t="inlineStr">
        <is>
          <t>Limited</t>
        </is>
      </c>
      <c r="J51" s="4" t="inlineStr">
        <is>
          <t>Automatic waiver only for citizens AND residents of the UN's 50 least developed countries (India is not on that list)</t>
        </is>
      </c>
      <c r="K51" s="4" t="inlineStr">
        <is>
          <t>Not required</t>
        </is>
      </c>
      <c r="L51" s="4" t="inlineStr">
        <is>
          <t>Not required</t>
        </is>
      </c>
      <c r="M51" s="4" t="inlineStr">
        <is>
          <t>90</t>
        </is>
      </c>
      <c r="N51" s="4" t="inlineStr">
        <is>
          <t>Yes</t>
        </is>
      </c>
      <c r="O51" s="4" t="inlineStr">
        <is>
          <t>Test required only if your university's primary language of instruction is not English (confirm with the program for your institution)</t>
        </is>
      </c>
      <c r="P51" s="4" t="inlineStr">
        <is>
          <t>Not required</t>
        </is>
      </c>
      <c r="Q51" s="4" t="inlineStr">
        <is>
          <t>Name faculty of interest in the application; no prior commitment needed, but contacting faculty is encouraged</t>
        </is>
      </c>
      <c r="R51" s="4" t="inlineStr">
        <is>
          <t>Guaranteed</t>
        </is>
      </c>
      <c r="S51" s="4" t="inlineStr">
        <is>
          <t>At least CAD 40,000/year for each of the first four PhD years (from September 2026)</t>
        </is>
      </c>
      <c r="T51" s="4" t="inlineStr">
        <is>
          <t>Master's usually required</t>
        </is>
      </c>
      <c r="U51" s="4" t="inlineStr">
        <is>
          <t>Application fee is payable by Visa/Mastercard credit or debit (select 'credit card' for debit). Astronomy PhD is a separate listing.</t>
        </is>
      </c>
      <c r="V51" s="5" t="inlineStr">
        <is>
          <t>https://www.grad.ubc.ca/prospective-students/graduate-degree-programs/phd-physics</t>
        </is>
      </c>
      <c r="W51" s="4" t="inlineStr">
        <is>
          <t>2026-10-21</t>
        </is>
      </c>
    </row>
    <row r="52">
      <c r="A52" s="4" t="inlineStr">
        <is>
          <t>Calgary</t>
        </is>
      </c>
      <c r="B52" s="4" t="inlineStr">
        <is>
          <t>University of Calgary · Physics and Astronomy</t>
        </is>
      </c>
      <c r="C52" s="4" t="inlineStr">
        <is>
          <t>Canada</t>
        </is>
      </c>
      <c r="D52" s="4" t="inlineStr">
        <is>
          <t>Alberta</t>
        </is>
      </c>
      <c r="E52" s="6" t="n">
        <v>46402</v>
      </c>
      <c r="F52" s="4" t="inlineStr">
        <is>
          <t>January 15 for September admission (Canadian and international); system closes that day. Year inferred.</t>
        </is>
      </c>
      <c r="G52" s="4" t="inlineStr">
        <is>
          <t>Not stated</t>
        </is>
      </c>
      <c r="H52" s="4" t="inlineStr"/>
      <c r="I52" s="4" t="inlineStr">
        <is>
          <t>None</t>
        </is>
      </c>
      <c r="J52" s="4" t="inlineStr">
        <is>
          <t>No fee-waiver program</t>
        </is>
      </c>
      <c r="K52" s="4" t="inlineStr">
        <is>
          <t>Not stated</t>
        </is>
      </c>
      <c r="L52" s="4" t="inlineStr">
        <is>
          <t>Required</t>
        </is>
      </c>
      <c r="M52" s="4" t="inlineStr">
        <is>
          <t>Not stated</t>
        </is>
      </c>
      <c r="N52" s="4" t="inlineStr">
        <is>
          <t>No</t>
        </is>
      </c>
      <c r="O52" s="4" t="inlineStr">
        <is>
          <t>Test required if your degree is from a country where English is not a native language (English-taught courses alone do not exempt you)</t>
        </is>
      </c>
      <c r="P52" s="4" t="inlineStr">
        <is>
          <t>Required</t>
        </is>
      </c>
      <c r="Q52" s="4" t="inlineStr">
        <is>
          <t>No supervisor needed to apply, but you are admitted only if at least one potential supervisor will fund you; contacting faculty first helps</t>
        </is>
      </c>
      <c r="R52" s="4" t="inlineStr">
        <is>
          <t>Guaranteed</t>
        </is>
      </c>
      <c r="S52" s="4" t="inlineStr">
        <is>
          <t>All admitted full-time thesis students are funded (tuition still payable)</t>
        </is>
      </c>
      <c r="T52" s="4" t="inlineStr">
        <is>
          <t>Not stated</t>
        </is>
      </c>
      <c r="U52" s="4" t="inlineStr">
        <is>
          <t>First-round offers take at least a month after January 15.</t>
        </is>
      </c>
      <c r="V52" s="5" t="inlineStr">
        <is>
          <t>https://grad.ucalgary.ca/future-students/graduate/discover-opportunities/explore-programs/physics-and-astronomy-phd</t>
        </is>
      </c>
      <c r="W52" s="4" t="inlineStr">
        <is>
          <t>2026-10-21</t>
        </is>
      </c>
    </row>
    <row r="53">
      <c r="A53" s="4" t="inlineStr">
        <is>
          <t>Berkeley</t>
        </is>
      </c>
      <c r="B53" s="4" t="inlineStr">
        <is>
          <t>University of California, Berkeley · Department of Physics</t>
        </is>
      </c>
      <c r="C53" s="4" t="inlineStr">
        <is>
          <t>USA</t>
        </is>
      </c>
      <c r="D53" s="4" t="inlineStr">
        <is>
          <t>California</t>
        </is>
      </c>
      <c r="E53" s="6" t="n">
        <v>46371</v>
      </c>
      <c r="F53" s="4" t="inlineStr">
        <is>
          <t>December 15, 2026, 8:59 PM Pacific for Fall 2027; application should be complete incl. letters</t>
        </is>
      </c>
      <c r="G53" s="4" t="inlineStr">
        <is>
          <t>Not stated</t>
        </is>
      </c>
      <c r="H53" s="4" t="inlineStr"/>
      <c r="I53" s="4" t="inlineStr">
        <is>
          <t>Domestic only</t>
        </is>
      </c>
      <c r="J53" s="4" t="inlineStr">
        <is>
          <t>Graduate Division waivers are for U.S. citizens/permanent residents</t>
        </is>
      </c>
      <c r="K53" s="4" t="inlineStr">
        <is>
          <t>Recommended</t>
        </is>
      </c>
      <c r="L53" s="4" t="inlineStr">
        <is>
          <t>Required</t>
        </is>
      </c>
      <c r="M53" s="4" t="inlineStr">
        <is>
          <t>90</t>
        </is>
      </c>
      <c r="N53" s="4" t="inlineStr">
        <is>
          <t>No</t>
        </is>
      </c>
      <c r="O53" s="4" t="inlineStr">
        <is>
          <t>Exemption depends on the country of your bachelor's institution; India is not on Berkeley's exempt list (a U.S.-accredited institution abroad would qualify)</t>
        </is>
      </c>
      <c r="P53" s="4" t="inlineStr">
        <is>
          <t>Not stated</t>
        </is>
      </c>
      <c r="Q53" s="4" t="inlineStr">
        <is>
          <t>No pre-application supervisor requirement mentioned</t>
        </is>
      </c>
      <c r="R53" s="4" t="inlineStr">
        <is>
          <t>Not stated</t>
        </is>
      </c>
      <c r="S53" s="4" t="inlineStr">
        <is>
          <t>Not stated on the admissions page checked</t>
        </is>
      </c>
      <c r="T53" s="4" t="inlineStr">
        <is>
          <t>Not stated</t>
        </is>
      </c>
      <c r="U53" s="4" t="inlineStr">
        <is>
          <t>Review starts immediately after the deadline; late letters may not be reviewed. Fall grades are not added after December 15.</t>
        </is>
      </c>
      <c r="V53" s="5" t="inlineStr">
        <is>
          <t>https://physics.berkeley.edu/academic/graduate-degree/graduate-admissions</t>
        </is>
      </c>
      <c r="W53" s="4" t="inlineStr">
        <is>
          <t>2026-10-21</t>
        </is>
      </c>
    </row>
    <row r="54">
      <c r="A54" s="4" t="inlineStr">
        <is>
          <t>University of California, Irvine</t>
        </is>
      </c>
      <c r="B54" s="4" t="inlineStr">
        <is>
          <t>University of California, Irvine · Department of Physics and Astronomy</t>
        </is>
      </c>
      <c r="C54" s="4" t="inlineStr">
        <is>
          <t>USA</t>
        </is>
      </c>
      <c r="D54" s="4" t="inlineStr">
        <is>
          <t>California</t>
        </is>
      </c>
      <c r="E54" s="6" t="n">
        <v>46371</v>
      </c>
      <c r="F54" s="4" t="inlineStr">
        <is>
          <t>December 15 (year not given; inferred 2026 for Fall 2027); all materials due by the deadline</t>
        </is>
      </c>
      <c r="G54" s="4" t="n">
        <v>155</v>
      </c>
      <c r="H54" s="4" t="inlineStr">
        <is>
          <t>USD</t>
        </is>
      </c>
      <c r="I54" s="4" t="inlineStr">
        <is>
          <t>Domestic only</t>
        </is>
      </c>
      <c r="J54" s="4" t="inlineStr">
        <is>
          <t>International applicants are not eligible for fee waivers (no exceptions); waivers are for U.S. citizens, permanent residents and DACA/AB540 only</t>
        </is>
      </c>
      <c r="K54" s="4" t="inlineStr">
        <is>
          <t>Not considered</t>
        </is>
      </c>
      <c r="L54" s="4" t="inlineStr">
        <is>
          <t>Not considered</t>
        </is>
      </c>
      <c r="M54" s="4" t="inlineStr">
        <is>
          <t>80</t>
        </is>
      </c>
      <c r="N54" s="4" t="inlineStr">
        <is>
          <t>Conditional</t>
        </is>
      </c>
      <c r="O54" s="4" t="inlineStr">
        <is>
          <t>Waived only if your degree-granting institution is listed in WHED with English as the SOLE language of instruction; otherwise a test is required. The same WHED rule exempts from the TA oral-English test.</t>
        </is>
      </c>
      <c r="P54" s="4" t="inlineStr">
        <is>
          <t>Not stated</t>
        </is>
      </c>
      <c r="Q54" s="4" t="inlineStr">
        <is>
          <t>No pre-application supervisor requirement mentioned</t>
        </is>
      </c>
      <c r="R54" s="4" t="inlineStr">
        <is>
          <t>Not stated</t>
        </is>
      </c>
      <c r="S54" s="4" t="inlineStr">
        <is>
          <t>Not stated on the pages checked (catalogue lists TA, RA and fellowship support without a guarantee)</t>
        </is>
      </c>
      <c r="T54" s="4" t="inlineStr">
        <is>
          <t>Direct from bachelor's</t>
        </is>
      </c>
      <c r="U54" s="4" t="inlineStr">
        <is>
          <t>Same application route covers the Chemical and Materials Physics (ChaMP) concentration. International PhD students must be TA-eligible; check the TA oral-English rules.</t>
        </is>
      </c>
      <c r="V54" s="5" t="inlineStr">
        <is>
          <t>https://www.physics.uci.edu/apply</t>
        </is>
      </c>
      <c r="W54" s="4" t="inlineStr">
        <is>
          <t>2026-10-21</t>
        </is>
      </c>
    </row>
    <row r="55">
      <c r="A55" s="4" t="inlineStr">
        <is>
          <t>University of California, Los Angeles</t>
        </is>
      </c>
      <c r="B55" s="4" t="inlineStr">
        <is>
          <t>University of California, Los Angeles · Department of Physics and Astronomy</t>
        </is>
      </c>
      <c r="C55" s="4" t="inlineStr">
        <is>
          <t>USA</t>
        </is>
      </c>
      <c r="D55" s="4" t="inlineStr">
        <is>
          <t>California</t>
        </is>
      </c>
      <c r="E55" s="6" t="n">
        <v>46371</v>
      </c>
      <c r="F55" s="4" t="inlineStr">
        <is>
          <t>December 15, 2026 (Fall admission only)</t>
        </is>
      </c>
      <c r="G55" s="4" t="n">
        <v>155</v>
      </c>
      <c r="H55" s="4" t="inlineStr">
        <is>
          <t>USD</t>
        </is>
      </c>
      <c r="I55" s="4" t="inlineStr">
        <is>
          <t>Limited</t>
        </is>
      </c>
      <c r="J55" s="4" t="inlineStr">
        <is>
          <t>Need-based waivers are for U.S. citizens/PRs and others who meet criteria; a non-citizen must be receiving need-based aid from the state of California. Event-based waivers exist for in-person attendees at designated recruitment events (no citizenship rule stated).</t>
        </is>
      </c>
      <c r="K55" s="4" t="inlineStr">
        <is>
          <t>Not required</t>
        </is>
      </c>
      <c r="L55" s="4" t="inlineStr">
        <is>
          <t>Recommended</t>
        </is>
      </c>
      <c r="M55" s="4" t="inlineStr">
        <is>
          <t>87</t>
        </is>
      </c>
      <c r="N55" s="4" t="inlineStr">
        <is>
          <t>Check tool</t>
        </is>
      </c>
      <c r="O55" s="4" t="inlineStr">
        <is>
          <t>Exempt only with a bachelor’s from the U.S. or a country where English is the SOLE language of instruction according to the World Higher Education Database (WHED); the UCLA page lists no countries, so Indian applicants must check WHED (likely not exempt, since India is multilingual)</t>
        </is>
      </c>
      <c r="P55" s="4" t="inlineStr">
        <is>
          <t>Not stated</t>
        </is>
      </c>
      <c r="Q55" s="4" t="inlineStr">
        <is>
          <t>No pre-application supervisor requirement mentioned; statement of purpose may name potential faculty mentors</t>
        </is>
      </c>
      <c r="R55" s="4" t="inlineStr">
        <is>
          <t>Not stated</t>
        </is>
      </c>
      <c r="S55" s="4" t="inlineStr">
        <is>
          <t>Not stated on the page checked</t>
        </is>
      </c>
      <c r="T55" s="4" t="inlineStr">
        <is>
          <t>Not stated</t>
        </is>
      </c>
      <c r="U55" s="4" t="inlineStr">
        <is>
          <t>Department site pa.ucla.edu returned 502 to every fetch; facts are from the UCLA Graduate Education pages. International applicants seeking TA/RA/fellowship support should have one of the three letters comment on their verbal English.</t>
        </is>
      </c>
      <c r="V55" s="5" t="inlineStr">
        <is>
          <t>https://grad.ucla.edu/requirements/?app=admission&amp;major=0666</t>
        </is>
      </c>
      <c r="W55" s="4" t="inlineStr">
        <is>
          <t>2026-10-21</t>
        </is>
      </c>
    </row>
    <row r="56">
      <c r="A56" s="4" t="inlineStr">
        <is>
          <t>UCSB</t>
        </is>
      </c>
      <c r="B56" s="4" t="inlineStr">
        <is>
          <t>University of California, Santa Barbara · Department of Physics</t>
        </is>
      </c>
      <c r="C56" s="4" t="inlineStr">
        <is>
          <t>USA</t>
        </is>
      </c>
      <c r="D56" s="4" t="inlineStr">
        <is>
          <t>California</t>
        </is>
      </c>
      <c r="E56" s="6" t="n">
        <v>46372</v>
      </c>
      <c r="F56" s="4" t="inlineStr">
        <is>
          <t>December 16, 2026, 11:59 PM PST (Fall quarter only)</t>
        </is>
      </c>
      <c r="G56" s="4" t="n">
        <v>155</v>
      </c>
      <c r="H56" s="4" t="inlineStr">
        <is>
          <t>USD</t>
        </is>
      </c>
      <c r="I56" s="4" t="inlineStr">
        <is>
          <t>Domestic only</t>
        </is>
      </c>
      <c r="J56" s="4" t="inlineStr">
        <is>
          <t>Fee waivers are not available to international applicants</t>
        </is>
      </c>
      <c r="K56" s="4" t="inlineStr">
        <is>
          <t>Not considered</t>
        </is>
      </c>
      <c r="L56" s="4" t="inlineStr">
        <is>
          <t>Not considered</t>
        </is>
      </c>
      <c r="M56" s="4" t="inlineStr">
        <is>
          <t>80</t>
        </is>
      </c>
      <c r="N56" s="4" t="inlineStr">
        <is>
          <t>Not stated</t>
        </is>
      </c>
      <c r="O56" s="4" t="inlineStr">
        <is>
          <t>Required if native language is not English; exemptions not shown on the page checked</t>
        </is>
      </c>
      <c r="P56" s="4" t="inlineStr">
        <is>
          <t>Recommended</t>
        </is>
      </c>
      <c r="Q56" s="4" t="inlineStr">
        <is>
          <t>Strongly encouraged to contact faculty early and list potential advisors</t>
        </is>
      </c>
      <c r="R56" s="4" t="inlineStr">
        <is>
          <t>Not stated</t>
        </is>
      </c>
      <c r="S56" s="4" t="inlineStr">
        <is>
          <t>Not stated on the page checked</t>
        </is>
      </c>
      <c r="T56" s="4" t="inlineStr">
        <is>
          <t>Not stated</t>
        </is>
      </c>
      <c r="U56" s="4" t="inlineStr">
        <is>
          <t>IELTS requirement (7.0) is higher than most programs in this list.</t>
        </is>
      </c>
      <c r="V56" s="5" t="inlineStr">
        <is>
          <t>https://www.physics.ucsb.edu/academics/graduate/apply</t>
        </is>
      </c>
      <c r="W56" s="4" t="inlineStr">
        <is>
          <t>2026-10-21</t>
        </is>
      </c>
    </row>
    <row r="57">
      <c r="A57" s="4" t="inlineStr">
        <is>
          <t>Cambridge</t>
        </is>
      </c>
      <c r="B57" s="4" t="inlineStr">
        <is>
          <t>University of Cambridge · Department of Physics (Cavendish Laboratory)</t>
        </is>
      </c>
      <c r="C57" s="4" t="inlineStr">
        <is>
          <t>United Kingdom</t>
        </is>
      </c>
      <c r="D57" s="4" t="inlineStr">
        <is>
          <t>England</t>
        </is>
      </c>
      <c r="E57" s="6" t="n">
        <v>46364</v>
      </c>
      <c r="F57" s="4" t="inlineStr">
        <is>
          <t>Course funding deadline Dec 8, 2026 (Gates Cambridge US round Oct 14, 2026). Final application deadline May 13, 2027 for an October 2027 start, but too late for university funding.</t>
        </is>
      </c>
      <c r="G57" s="4" t="n">
        <v>20</v>
      </c>
      <c r="H57" s="4" t="inlineStr">
        <is>
          <t>GBP</t>
        </is>
      </c>
      <c r="I57" s="4" t="inlineStr">
        <is>
          <t>Limited</t>
        </is>
      </c>
      <c r="J57" s="4" t="inlineStr">
        <is>
          <t>A waiver exists for eligible applicants; eligibility criteria not shown on the page checked</t>
        </is>
      </c>
      <c r="K57" s="4" t="inlineStr">
        <is>
          <t>Not stated</t>
        </is>
      </c>
      <c r="L57" s="4" t="inlineStr">
        <is>
          <t>Not stated</t>
        </is>
      </c>
      <c r="M57" s="4" t="inlineStr">
        <is>
          <t>100</t>
        </is>
      </c>
      <c r="N57" s="4" t="inlineStr">
        <is>
          <t>No</t>
        </is>
      </c>
      <c r="O57" s="4" t="inlineStr">
        <is>
          <t>Exemption needs nationality of, or a degree from, a 'majority English-speaking country' (UKVI list); India is not on that list</t>
        </is>
      </c>
      <c r="P57" s="4" t="inlineStr">
        <is>
          <t>Recommended</t>
        </is>
      </c>
      <c r="Q57" s="4" t="inlineStr">
        <is>
          <t>Some PhD programmes need supervisor contact before applying; a 2027-28 supervisor list is published</t>
        </is>
      </c>
      <c r="R57" s="4" t="inlineStr">
        <is>
          <t>Competitive</t>
        </is>
      </c>
      <c r="S57" s="4" t="inlineStr">
        <is>
          <t>Not guaranteed: apply by the funding deadline to enter the University funding competition; otherwise secure your own support</t>
        </is>
      </c>
      <c r="T57" s="4" t="inlineStr">
        <is>
          <t>Master's usually required</t>
        </is>
      </c>
      <c r="U57" s="4" t="inlineStr">
        <is>
          <t>Funding offers start being considered from February; offers of admission from November at the earliest.</t>
        </is>
      </c>
      <c r="V57" s="5" t="inlineStr">
        <is>
          <t>https://www.postgraduate.study.cam.ac.uk/courses/directory/pcphpdphy</t>
        </is>
      </c>
      <c r="W57" s="4" t="inlineStr">
        <is>
          <t>2026-10-21</t>
        </is>
      </c>
    </row>
    <row r="58">
      <c r="A58" s="4" t="inlineStr">
        <is>
          <t>UChicago</t>
        </is>
      </c>
      <c r="B58" s="4" t="inlineStr">
        <is>
          <t>University of Chicago · Department of Physics</t>
        </is>
      </c>
      <c r="C58" s="4" t="inlineStr">
        <is>
          <t>USA</t>
        </is>
      </c>
      <c r="D58" s="4" t="inlineStr">
        <is>
          <t>Illinois</t>
        </is>
      </c>
      <c r="E58" s="6" t="n">
        <v>46370</v>
      </c>
      <c r="F58" s="4" t="inlineStr">
        <is>
          <t>December 14, 2026</t>
        </is>
      </c>
      <c r="G58" s="4" t="n">
        <v>90</v>
      </c>
      <c r="H58" s="4" t="inlineStr">
        <is>
          <t>USD</t>
        </is>
      </c>
      <c r="I58" s="4" t="inlineStr">
        <is>
          <t>Limited</t>
        </is>
      </c>
      <c r="J58" s="4" t="inlineStr">
        <is>
          <t>Specific fee-waiver categories exist (PSD); request through the application portal before paying</t>
        </is>
      </c>
      <c r="K58" s="4" t="inlineStr">
        <is>
          <t>Not required</t>
        </is>
      </c>
      <c r="L58" s="4" t="inlineStr">
        <is>
          <t>Required</t>
        </is>
      </c>
      <c r="M58" s="4" t="inlineStr">
        <is>
          <t>Not stated</t>
        </is>
      </c>
      <c r="N58" s="4" t="inlineStr">
        <is>
          <t>Not stated</t>
        </is>
      </c>
      <c r="O58" s="4" t="inlineStr">
        <is>
          <t>PSD has waiver criteria; criteria not shown in the text checked</t>
        </is>
      </c>
      <c r="P58" s="4" t="inlineStr">
        <is>
          <t>Not stated</t>
        </is>
      </c>
      <c r="Q58" s="4" t="inlineStr">
        <is>
          <t>No pre-application supervisor requirement mentioned</t>
        </is>
      </c>
      <c r="R58" s="4" t="inlineStr">
        <is>
          <t>Not stated</t>
        </is>
      </c>
      <c r="S58" s="4" t="inlineStr">
        <is>
          <t>PhD programs are funded (stipend timing noted); amounts not stated on the pages checked</t>
        </is>
      </c>
      <c r="T58" s="4" t="inlineStr">
        <is>
          <t>Not stated</t>
        </is>
      </c>
      <c r="U58" s="4" t="inlineStr">
        <is>
          <t>Do not pay the fee before a waiver decision; fees paid before an approved waiver are not refunded (per PSD).</t>
        </is>
      </c>
      <c r="V58" s="5" t="inlineStr">
        <is>
          <t>https://physicsrecruitment.psd.uchicago.edu/apply/</t>
        </is>
      </c>
      <c r="W58" s="4" t="inlineStr">
        <is>
          <t>2026-10-21</t>
        </is>
      </c>
    </row>
    <row r="59">
      <c r="A59" s="4" t="inlineStr">
        <is>
          <t>University of Colorado Boulder</t>
        </is>
      </c>
      <c r="B59" s="4" t="inlineStr">
        <is>
          <t>University of Colorado Boulder · Department of Physics</t>
        </is>
      </c>
      <c r="C59" s="4" t="inlineStr">
        <is>
          <t>USA</t>
        </is>
      </c>
      <c r="D59" s="4" t="inlineStr">
        <is>
          <t>Colorado</t>
        </is>
      </c>
      <c r="E59" s="6" t="n">
        <v>46357</v>
      </c>
      <c r="F59" s="4" t="inlineStr">
        <is>
          <t>December 1, 11:59 PM Eastern (year not printed; inferred 2026 for Fall 2027). Test scores accepted to Dec 15; letters by Dec 15 for priority, not accepted after Jan 1</t>
        </is>
      </c>
      <c r="G59" s="4" t="n">
        <v>80</v>
      </c>
      <c r="H59" s="4" t="inlineStr">
        <is>
          <t>USD</t>
        </is>
      </c>
      <c r="I59" s="4" t="inlineStr">
        <is>
          <t>Limited</t>
        </is>
      </c>
      <c r="J59" s="4" t="inlineStr">
        <is>
          <t>Department need-based waivers mainly for domestic applicants; for international students only in very exceptional circumstances. Request by November 13, 2026 (decision by Nov 24) and do not submit or pay before the decision. Graduate School waivers are for listed (mostly U.S.) programs.</t>
        </is>
      </c>
      <c r="K59" s="4" t="inlineStr">
        <is>
          <t>Not stated</t>
        </is>
      </c>
      <c r="L59" s="4" t="inlineStr">
        <is>
          <t>Recommended</t>
        </is>
      </c>
      <c r="M59" s="4" t="inlineStr">
        <is>
          <t>80</t>
        </is>
      </c>
      <c r="N59" s="4" t="inlineStr">
        <is>
          <t>Yes</t>
        </is>
      </c>
      <c r="O59" s="4" t="inlineStr">
        <is>
          <t>Citizens of qualifying countries are exempt and India is on the list (the India exception applies only to Engineering Management). MOI letters are not accepted. Applications show the test as required until International Admissions manually waives it.</t>
        </is>
      </c>
      <c r="P59" s="4" t="inlineStr">
        <is>
          <t>Not required</t>
        </is>
      </c>
      <c r="Q59" s="4" t="inlineStr">
        <is>
          <t>Contacting a potential research advisor before applying or admission is not necessary</t>
        </is>
      </c>
      <c r="R59" s="4" t="inlineStr">
        <is>
          <t>Typical</t>
        </is>
      </c>
      <c r="S59" s="4" t="inlineStr">
        <is>
          <t>Historically all admitted students (domestic and international) get TA/RA support with tuition and fees covered for the first two years, and satisfactory-progress students are supported after; department says there are no absolute guarantees</t>
        </is>
      </c>
      <c r="T59" s="4" t="inlineStr">
        <is>
          <t>Direct from bachelor's</t>
        </is>
      </c>
      <c r="U59" s="4" t="inlineStr">
        <is>
          <t>PhD-only admission (no standalone master's). Astrophysical and Planetary Sciences is a separate department with its own application.</t>
        </is>
      </c>
      <c r="V59" s="5" t="inlineStr">
        <is>
          <t>https://www.colorado.edu/physics/admissions/graduate-application-information</t>
        </is>
      </c>
      <c r="W59" s="4" t="inlineStr">
        <is>
          <t>2026-10-22</t>
        </is>
      </c>
    </row>
    <row r="60">
      <c r="A60" s="4" t="inlineStr">
        <is>
          <t>Copenhagen (NBI)</t>
        </is>
      </c>
      <c r="B60" s="4" t="inlineStr">
        <is>
          <t>University of Copenhagen · Niels Bohr Institute (Faculty of SCIENCE PhD School)</t>
        </is>
      </c>
      <c r="C60" s="4" t="inlineStr">
        <is>
          <t>Denmark</t>
        </is>
      </c>
      <c r="D60" s="4" t="inlineStr">
        <is>
          <t>Capital Region</t>
        </is>
      </c>
      <c r="E60" s="4" t="inlineStr">
        <is>
          <t>Per position</t>
        </is>
      </c>
      <c r="F60" s="4" t="inlineStr">
        <is>
          <t>No central deadline: apply to advertised PhD positions on the UCPH job portal (each has its own deadline); applications go through the relevant department</t>
        </is>
      </c>
      <c r="G60" s="4" t="inlineStr">
        <is>
          <t>Not stated</t>
        </is>
      </c>
      <c r="H60" s="4" t="inlineStr"/>
      <c r="I60" s="4" t="inlineStr">
        <is>
          <t>Not stated</t>
        </is>
      </c>
      <c r="J60" s="4" t="inlineStr">
        <is>
          <t>Not stated on the page checked</t>
        </is>
      </c>
      <c r="K60" s="4" t="inlineStr">
        <is>
          <t>Not stated</t>
        </is>
      </c>
      <c r="L60" s="4" t="inlineStr">
        <is>
          <t>Not stated</t>
        </is>
      </c>
      <c r="M60" s="4" t="inlineStr">
        <is>
          <t>Not stated</t>
        </is>
      </c>
      <c r="N60" s="4" t="inlineStr">
        <is>
          <t>Yes</t>
        </is>
      </c>
      <c r="O60" s="4" t="inlineStr">
        <is>
          <t>The faculty sets no English test: if English is not your principal language, you demonstrate it in an interview with your principal supervisor</t>
        </is>
      </c>
      <c r="P60" s="4" t="inlineStr">
        <is>
          <t>Required</t>
        </is>
      </c>
      <c r="Q60" s="4" t="inlineStr">
        <is>
          <t>You must have an agreement with a principal supervisor at the Faculty of Science before you apply for admission</t>
        </is>
      </c>
      <c r="R60" s="4" t="inlineStr">
        <is>
          <t>Guaranteed</t>
        </is>
      </c>
      <c r="S60" s="4" t="inlineStr">
        <is>
          <t>No unfunded admission: you need funding for salary and tuition fee to enrol (usually employment as a PhD fellow); UCPH stopped admitting self-paying PhD students in May 2025</t>
        </is>
      </c>
      <c r="T60" s="4" t="inlineStr">
        <is>
          <t>Master's usually required</t>
        </is>
      </c>
      <c r="U60" s="4" t="inlineStr">
        <is>
          <t>Rules are from the Faculty of SCIENCE PhD School, which covers NBI (no separate NBI English admissions page was found). The PhD lasts three years after a master's. From 1 Jan 2027 UCPH charges a PhD tuition fee of DKK 85,000 per year for three years, which your funding must cover (phd.ku.dk enrolment page). Check each job ad for extra requirements.</t>
        </is>
      </c>
      <c r="V60" s="5" t="inlineStr">
        <is>
          <t>https://science.ku.dk/phd/appguide/</t>
        </is>
      </c>
      <c r="W60" s="4" t="inlineStr">
        <is>
          <t>2026-10-21</t>
        </is>
      </c>
    </row>
    <row r="61">
      <c r="A61" s="4" t="inlineStr">
        <is>
          <t>Edinburgh</t>
        </is>
      </c>
      <c r="B61" s="4" t="inlineStr">
        <is>
          <t>University of Edinburgh · School of Physics and Astronomy</t>
        </is>
      </c>
      <c r="C61" s="4" t="inlineStr">
        <is>
          <t>United Kingdom</t>
        </is>
      </c>
      <c r="D61" s="4" t="inlineStr">
        <is>
          <t>Scotland</t>
        </is>
      </c>
      <c r="E61" s="6" t="n">
        <v>46409</v>
      </c>
      <c r="F61" s="4" t="inlineStr">
        <is>
          <t>Funding deadline: Physics Jan 22, 2027 (Astronomy/Astrophysics Jan 4, 2027). Admission without funding accepted until the end of June.</t>
        </is>
      </c>
      <c r="G61" s="4" t="inlineStr">
        <is>
          <t>Not stated</t>
        </is>
      </c>
      <c r="H61" s="4" t="inlineStr"/>
      <c r="I61" s="4" t="inlineStr">
        <is>
          <t>Not stated</t>
        </is>
      </c>
      <c r="J61" s="4" t="inlineStr">
        <is>
          <t>Not stated on the page checked</t>
        </is>
      </c>
      <c r="K61" s="4" t="inlineStr">
        <is>
          <t>Not stated</t>
        </is>
      </c>
      <c r="L61" s="4" t="inlineStr">
        <is>
          <t>Not stated</t>
        </is>
      </c>
      <c r="M61" s="4" t="inlineStr">
        <is>
          <t>Not stated</t>
        </is>
      </c>
      <c r="N61" s="4" t="inlineStr">
        <is>
          <t>Conditional</t>
        </is>
      </c>
      <c r="O61" s="4" t="inlineStr">
        <is>
          <t>An English-taught degree counts only if your institution is on the University's approved list for non-majority-English-speaking countries</t>
        </is>
      </c>
      <c r="P61" s="4" t="inlineStr">
        <is>
          <t>Not required</t>
        </is>
      </c>
      <c r="Q61" s="4" t="inlineStr">
        <is>
          <t>No need to contact supervisors before applying unless you propose your own project; name preferred supervisors on the form</t>
        </is>
      </c>
      <c r="R61" s="4" t="inlineStr">
        <is>
          <t>Competitive</t>
        </is>
      </c>
      <c r="S61" s="4" t="inlineStr">
        <is>
          <t>School studentships include full tuition; UKRI limits how many international students can be funded, but other routes exist</t>
        </is>
      </c>
      <c r="T61" s="4" t="inlineStr">
        <is>
          <t>Direct from bachelor's</t>
        </is>
      </c>
      <c r="U61" s="4" t="inlineStr">
        <is>
          <t>Apply early if you need funding or a visa.</t>
        </is>
      </c>
      <c r="V61" s="5" t="inlineStr">
        <is>
          <t>https://www.ph.ed.ac.uk/studying/postgraduate-research/how-apply</t>
        </is>
      </c>
      <c r="W61" s="4" t="inlineStr">
        <is>
          <t>2026-10-21</t>
        </is>
      </c>
    </row>
    <row r="62">
      <c r="A62" s="4" t="inlineStr">
        <is>
          <t>University of Guelph</t>
        </is>
      </c>
      <c r="B62" s="4" t="inlineStr">
        <is>
          <t>University of Guelph · Department of Physics</t>
        </is>
      </c>
      <c r="C62" s="4" t="inlineStr">
        <is>
          <t>Canada</t>
        </is>
      </c>
      <c r="D62" s="4" t="inlineStr">
        <is>
          <t>Ontario</t>
        </is>
      </c>
      <c r="E62" s="6" t="n">
        <v>46419</v>
      </c>
      <c r="F62" s="4" t="inlineStr">
        <is>
          <t>Official pages disagree. Department page: February 1 for Fall (September) entry, with only domestic applicants considered after the deadline (Feb 1 also needed for award consideration). PhD program page: international Fall deadline May 1 (domestic August 31). Coded the earlier date; department recommends internationals apply 9+ months before the start term. Year inferred for Fall 2027.</t>
        </is>
      </c>
      <c r="G62" s="4" t="n">
        <v>125</v>
      </c>
      <c r="H62" s="4" t="inlineStr">
        <is>
          <t>CAD</t>
        </is>
      </c>
      <c r="I62" s="4" t="inlineStr">
        <is>
          <t>Not stated</t>
        </is>
      </c>
      <c r="J62" s="4" t="inlineStr">
        <is>
          <t>Not stated on the page checked</t>
        </is>
      </c>
      <c r="K62" s="4" t="inlineStr">
        <is>
          <t>Not stated</t>
        </is>
      </c>
      <c r="L62" s="4" t="inlineStr">
        <is>
          <t>Required</t>
        </is>
      </c>
      <c r="M62" s="4" t="inlineStr">
        <is>
          <t>89</t>
        </is>
      </c>
      <c r="N62" s="4" t="inlineStr">
        <is>
          <t>Conditional</t>
        </is>
      </c>
      <c r="O62" s="4" t="inlineStr">
        <is>
          <t>If your prior post-secondary study was taught in English you may request a waiver, decided case by case by the department; physics also asks for a test if your English-medium degree was completed more than two years ago</t>
        </is>
      </c>
      <c r="P62" s="4" t="inlineStr">
        <is>
          <t>Required</t>
        </is>
      </c>
      <c r="Q62" s="4" t="inlineStr">
        <is>
          <t>You do not need a supervisor before applying (list 2-3 potential supervisors), but approved applicants are admitted only if a supervisor match is found</t>
        </is>
      </c>
      <c r="R62" s="4" t="inlineStr">
        <is>
          <t>Typical</t>
        </is>
      </c>
      <c r="S62" s="4" t="inlineStr">
        <is>
          <t>Full funding typically provided to full-time thesis-based students without external funding (scholarships, TA, RA); no minimum amount stated</t>
        </is>
      </c>
      <c r="T62" s="4" t="inlineStr">
        <is>
          <t>Master's usually required</t>
        </is>
      </c>
      <c r="U62" s="4" t="inlineStr">
        <is>
          <t>Physics PhD run jointly with Waterloo through the Guelph-Waterloo Physics Institute (shared courses). Applications go through OUAC.</t>
        </is>
      </c>
      <c r="V62" s="5" t="inlineStr">
        <is>
          <t>https://www.uoguelph.ca/physics/future-students/grad-apply</t>
        </is>
      </c>
      <c r="W62" s="4" t="inlineStr">
        <is>
          <t>2026-10-21</t>
        </is>
      </c>
    </row>
    <row r="63">
      <c r="A63" s="4" t="inlineStr">
        <is>
          <t>UIUC</t>
        </is>
      </c>
      <c r="B63" s="4" t="inlineStr">
        <is>
          <t>University of Illinois Urbana-Champaign · Department of Physics</t>
        </is>
      </c>
      <c r="C63" s="4" t="inlineStr">
        <is>
          <t>USA</t>
        </is>
      </c>
      <c r="D63" s="4" t="inlineStr">
        <is>
          <t>Illinois</t>
        </is>
      </c>
      <c r="E63" s="6" t="n">
        <v>46402</v>
      </c>
      <c r="F63" s="4" t="inlineStr">
        <is>
          <t>January 15, 2027 for Fall 2027; all materials incl. letters and official scores by that date</t>
        </is>
      </c>
      <c r="G63" s="4" t="n">
        <v>90</v>
      </c>
      <c r="H63" s="4" t="inlineStr">
        <is>
          <t>USD</t>
        </is>
      </c>
      <c r="I63" s="4" t="inlineStr">
        <is>
          <t>Not stated</t>
        </is>
      </c>
      <c r="J63" s="4" t="inlineStr">
        <is>
          <t>No international fee-waiver route stated on the department pages checked</t>
        </is>
      </c>
      <c r="K63" s="4" t="inlineStr">
        <is>
          <t>Optional</t>
        </is>
      </c>
      <c r="L63" s="4" t="inlineStr">
        <is>
          <t>Optional</t>
        </is>
      </c>
      <c r="M63" s="4" t="inlineStr">
        <is>
          <t>Not stated</t>
        </is>
      </c>
      <c r="N63" s="4" t="inlineStr">
        <is>
          <t>No</t>
        </is>
      </c>
      <c r="O63" s="4" t="inlineStr">
        <is>
          <t>Exemption only for degrees/study in the U.S. or an approved English-primary country; India is not on the Graduate College's approved list</t>
        </is>
      </c>
      <c r="P63" s="4" t="inlineStr">
        <is>
          <t>Not stated</t>
        </is>
      </c>
      <c r="Q63" s="4" t="inlineStr">
        <is>
          <t>Admission is decided by the department committee; no pre-application supervisor requirement mentioned on the pages checked</t>
        </is>
      </c>
      <c r="R63" s="4" t="inlineStr">
        <is>
          <t>Typical</t>
        </is>
      </c>
      <c r="S63" s="4" t="inlineStr">
        <is>
          <t>Most admitted students are offered a Teaching Assistantship</t>
        </is>
      </c>
      <c r="T63" s="4" t="inlineStr">
        <is>
          <t>Direct from bachelor's</t>
        </is>
      </c>
      <c r="U63" s="4" t="inlineStr">
        <is>
          <t>Three letters of reference. Incomplete applications after January 15 are not considered.</t>
        </is>
      </c>
      <c r="V63" s="5" t="inlineStr">
        <is>
          <t>https://physics.illinois.edu/admissions/graduates/apply</t>
        </is>
      </c>
      <c r="W63" s="4" t="inlineStr">
        <is>
          <t>2026-10-21</t>
        </is>
      </c>
    </row>
    <row r="64">
      <c r="A64" s="4" t="inlineStr">
        <is>
          <t>University of Manitoba</t>
        </is>
      </c>
      <c r="B64" s="4" t="inlineStr">
        <is>
          <t>University of Manitoba · Department of Physics and Astronomy</t>
        </is>
      </c>
      <c r="C64" s="4" t="inlineStr">
        <is>
          <t>Canada</t>
        </is>
      </c>
      <c r="D64" s="4" t="inlineStr">
        <is>
          <t>Manitoba</t>
        </is>
      </c>
      <c r="E64" s="6" t="n">
        <v>46395</v>
      </c>
      <c r="F64" s="4" t="inlineStr">
        <is>
          <t>International applicants: January 8 for Fall (September) entry; applications reviewed on a rolling basis (Canadian/US: May 15). Taken from the Physics block of the program page's deadline widget; year inferred for Fall 2027.</t>
        </is>
      </c>
      <c r="G64" s="4" t="n">
        <v>130</v>
      </c>
      <c r="H64" s="4" t="inlineStr">
        <is>
          <t>CAD</t>
        </is>
      </c>
      <c r="I64" s="4" t="inlineStr">
        <is>
          <t>Not stated</t>
        </is>
      </c>
      <c r="J64" s="4" t="inlineStr">
        <is>
          <t>Not stated on the page checked</t>
        </is>
      </c>
      <c r="K64" s="4" t="inlineStr">
        <is>
          <t>Not stated</t>
        </is>
      </c>
      <c r="L64" s="4" t="inlineStr">
        <is>
          <t>Recommended</t>
        </is>
      </c>
      <c r="M64" s="4" t="inlineStr">
        <is>
          <t>86</t>
        </is>
      </c>
      <c r="N64" s="4" t="inlineStr">
        <is>
          <t>No</t>
        </is>
      </c>
      <c r="O64" s="4" t="inlineStr">
        <is>
          <t>Exemption only for degrees/diplomas from Canada or listed countries; India is not on the exemption list</t>
        </is>
      </c>
      <c r="P64" s="4" t="inlineStr">
        <is>
          <t>Required</t>
        </is>
      </c>
      <c r="Q64" s="4" t="inlineStr">
        <is>
          <t>Department cannot admit without a formal advisor commitment; contact a prospective advisor (via the associate head) before applying, and name your preferred supervisor in the application</t>
        </is>
      </c>
      <c r="R64" s="4" t="inlineStr">
        <is>
          <t>Guaranteed</t>
        </is>
      </c>
      <c r="S64" s="4" t="inlineStr">
        <is>
          <t>All students admitted to research-based graduate programs are guaranteed a department-set minimum stipend; 2026-27 PhD stipends CAD 27,000 (grant funded) to 40,000 (NSERC), excluding up to CAD 3,000 TA income</t>
        </is>
      </c>
      <c r="T64" s="4" t="inlineStr">
        <is>
          <t>Master's usually required</t>
        </is>
      </c>
      <c r="U64" s="4" t="inlineStr">
        <is>
          <t>Program listed as Physics and Astronomy (PhD); Medical and Health Physics PhD is a stream. Applying without prior advisor contact can forfeit the fee. All scholarships except NSERC are open to international students.</t>
        </is>
      </c>
      <c r="V64" s="5" t="inlineStr">
        <is>
          <t>https://umanitoba.ca/explore/programs-of-study/physics-phd</t>
        </is>
      </c>
      <c r="W64" s="4" t="inlineStr">
        <is>
          <t>2026-10-21</t>
        </is>
      </c>
    </row>
    <row r="65">
      <c r="A65" s="4" t="inlineStr">
        <is>
          <t>Maryland</t>
        </is>
      </c>
      <c r="B65" s="4" t="inlineStr">
        <is>
          <t>University of Maryland, College Park · Department of Physics</t>
        </is>
      </c>
      <c r="C65" s="4" t="inlineStr">
        <is>
          <t>USA</t>
        </is>
      </c>
      <c r="D65" s="4" t="inlineStr">
        <is>
          <t>Maryland</t>
        </is>
      </c>
      <c r="E65" s="6" t="n">
        <v>46367</v>
      </c>
      <c r="F65" s="4" t="inlineStr">
        <is>
          <t>December 11, 2026 for Fall 2027 (domestic and international)</t>
        </is>
      </c>
      <c r="G65" s="4" t="inlineStr">
        <is>
          <t>Not stated</t>
        </is>
      </c>
      <c r="H65" s="4" t="inlineStr"/>
      <c r="I65" s="4" t="inlineStr">
        <is>
          <t>Not stated</t>
        </is>
      </c>
      <c r="J65" s="4" t="inlineStr">
        <is>
          <t>Not stated on the pages checked</t>
        </is>
      </c>
      <c r="K65" s="4" t="inlineStr">
        <is>
          <t>Not stated</t>
        </is>
      </c>
      <c r="L65" s="4" t="inlineStr">
        <is>
          <t>Optional</t>
        </is>
      </c>
      <c r="M65" s="4" t="inlineStr">
        <is>
          <t>Not stated</t>
        </is>
      </c>
      <c r="N65" s="4" t="inlineStr">
        <is>
          <t>Not stated</t>
        </is>
      </c>
      <c r="O65" s="4" t="inlineStr">
        <is>
          <t>Not stated on the page checked</t>
        </is>
      </c>
      <c r="P65" s="4" t="inlineStr">
        <is>
          <t>Not stated</t>
        </is>
      </c>
      <c r="Q65" s="4" t="inlineStr">
        <is>
          <t>No pre-application supervisor requirement mentioned</t>
        </is>
      </c>
      <c r="R65" s="4" t="inlineStr">
        <is>
          <t>Typical</t>
        </is>
      </c>
      <c r="S65" s="4" t="inlineStr">
        <is>
          <t>Virtually all PhD students have full support for the duration</t>
        </is>
      </c>
      <c r="T65" s="4" t="inlineStr">
        <is>
          <t>Not stated</t>
        </is>
      </c>
      <c r="U65" s="4" t="inlineStr">
        <is>
          <t>Three letters of recommendation; supplementary application required. Department site was unreachable (HTTP 502) on the check date.</t>
        </is>
      </c>
      <c r="V65" s="5" t="inlineStr">
        <is>
          <t>https://academiccatalog.umd.edu/graduate/programs/physics-phys/</t>
        </is>
      </c>
      <c r="W65" s="4" t="inlineStr">
        <is>
          <t>2026-10-21</t>
        </is>
      </c>
    </row>
    <row r="66">
      <c r="A66" s="4" t="inlineStr">
        <is>
          <t>Minnesota</t>
        </is>
      </c>
      <c r="B66" s="4" t="inlineStr">
        <is>
          <t>University of Minnesota (Twin Cities) · School of Physics and Astronomy</t>
        </is>
      </c>
      <c r="C66" s="4" t="inlineStr">
        <is>
          <t>USA</t>
        </is>
      </c>
      <c r="D66" s="4" t="inlineStr">
        <is>
          <t>Minnesota</t>
        </is>
      </c>
      <c r="E66" s="6" t="n">
        <v>46371</v>
      </c>
      <c r="F66" s="4" t="inlineStr">
        <is>
          <t>December 15 for the following fall (window September-December). Year inferred.</t>
        </is>
      </c>
      <c r="G66" s="4" t="inlineStr">
        <is>
          <t>Not stated</t>
        </is>
      </c>
      <c r="H66" s="4" t="inlineStr"/>
      <c r="I66" s="4" t="inlineStr">
        <is>
          <t>Not stated</t>
        </is>
      </c>
      <c r="J66" s="4" t="inlineStr">
        <is>
          <t>Not stated on the page checked</t>
        </is>
      </c>
      <c r="K66" s="4" t="inlineStr">
        <is>
          <t>Not considered</t>
        </is>
      </c>
      <c r="L66" s="4" t="inlineStr">
        <is>
          <t>Not considered</t>
        </is>
      </c>
      <c r="M66" s="4" t="inlineStr">
        <is>
          <t>79</t>
        </is>
      </c>
      <c r="N66" s="4" t="inlineStr">
        <is>
          <t>Not stated</t>
        </is>
      </c>
      <c r="O66" s="4" t="inlineStr">
        <is>
          <t>Exemption rules not shown on the page checked</t>
        </is>
      </c>
      <c r="P66" s="4" t="inlineStr">
        <is>
          <t>Not stated</t>
        </is>
      </c>
      <c r="Q66" s="4" t="inlineStr">
        <is>
          <t>No pre-application supervisor requirement mentioned</t>
        </is>
      </c>
      <c r="R66" s="4" t="inlineStr">
        <is>
          <t>Not stated</t>
        </is>
      </c>
      <c r="S66" s="4" t="inlineStr">
        <is>
          <t>Not stated on the page checked</t>
        </is>
      </c>
      <c r="T66" s="4" t="inlineStr">
        <is>
          <t>Not stated</t>
        </is>
      </c>
      <c r="U66" s="4" t="inlineStr">
        <is>
          <t>Department does not send acknowledgements or missing-item notices; check the portal yourself.</t>
        </is>
      </c>
      <c r="V66" s="5" t="inlineStr">
        <is>
          <t>https://cse.umn.edu/physics/graduate-admissions</t>
        </is>
      </c>
      <c r="W66" s="4" t="inlineStr">
        <is>
          <t>2026-10-21</t>
        </is>
      </c>
    </row>
    <row r="67">
      <c r="A67" s="4" t="inlineStr">
        <is>
          <t>University of Notre Dame</t>
        </is>
      </c>
      <c r="B67" s="4" t="inlineStr">
        <is>
          <t>University of Notre Dame · Department of Physics and Astronomy</t>
        </is>
      </c>
      <c r="C67" s="4" t="inlineStr">
        <is>
          <t>USA</t>
        </is>
      </c>
      <c r="D67" s="4" t="inlineStr">
        <is>
          <t>Indiana</t>
        </is>
      </c>
      <c r="E67" s="6" t="n">
        <v>46371</v>
      </c>
      <c r="F67" s="4" t="inlineStr">
        <is>
          <t>December 15 for full consideration (year inferred); primarily fall entry</t>
        </is>
      </c>
      <c r="G67" s="4" t="n">
        <v>75</v>
      </c>
      <c r="H67" s="4" t="inlineStr">
        <is>
          <t>USD</t>
        </is>
      </c>
      <c r="I67" s="4" t="inlineStr">
        <is>
          <t>Available</t>
        </is>
      </c>
      <c r="J67" s="4" t="inlineStr">
        <is>
          <t>Graduate School waivers for need/financial hardship (bank or mobile-money statement accepted), veterans, national-fellowship applicants, or at department discretion; no citizenship limit stated. Physics also offers a limited number of departmental waivers.</t>
        </is>
      </c>
      <c r="K67" s="4" t="inlineStr">
        <is>
          <t>Not considered</t>
        </is>
      </c>
      <c r="L67" s="4" t="inlineStr">
        <is>
          <t>Not considered</t>
        </is>
      </c>
      <c r="M67" s="4" t="inlineStr">
        <is>
          <t>80</t>
        </is>
      </c>
      <c r="N67" s="4" t="inlineStr">
        <is>
          <t>Yes</t>
        </is>
      </c>
      <c r="O67" s="4" t="inlineStr">
        <is>
          <t>Waived for anyone with a bachelor's (or higher) degree, or at least two years of post-secondary study, at an English-medium institution</t>
        </is>
      </c>
      <c r="P67" s="4" t="inlineStr">
        <is>
          <t>Not required</t>
        </is>
      </c>
      <c r="Q67" s="4" t="inlineStr">
        <is>
          <t>Students are not admitted to a specific advisor, though funded advisors' recommendations weigh strongly; must state experiment vs theory preference</t>
        </is>
      </c>
      <c r="R67" s="4" t="inlineStr">
        <is>
          <t>Guaranteed</t>
        </is>
      </c>
      <c r="S67" s="4" t="inlineStr">
        <is>
          <t>All admitted students receive full tuition support and a stipend (TA first, RA later)</t>
        </is>
      </c>
      <c r="T67" s="4" t="inlineStr">
        <is>
          <t>Direct from bachelor's</t>
        </is>
      </c>
      <c r="U67" s="4" t="inlineStr">
        <is>
          <t>Selected applicants get an online interview. Admission decision cannot be made until TOEFL/IELTS scores arrive. Strong applicants automatically considered for internal fellowships.</t>
        </is>
      </c>
      <c r="V67" s="5" t="inlineStr">
        <is>
          <t>https://physics.nd.edu/graduate/apply/</t>
        </is>
      </c>
      <c r="W67" s="4" t="inlineStr">
        <is>
          <t>2026-10-21</t>
        </is>
      </c>
    </row>
    <row r="68">
      <c r="A68" s="4" t="inlineStr">
        <is>
          <t>Ottawa</t>
        </is>
      </c>
      <c r="B68" s="4" t="inlineStr">
        <is>
          <t>University of Ottawa (Ottawa-Carleton Institute for Physics) · Department of Physics</t>
        </is>
      </c>
      <c r="C68" s="4" t="inlineStr">
        <is>
          <t>Canada</t>
        </is>
      </c>
      <c r="D68" s="4" t="inlineStr">
        <is>
          <t>Ontario</t>
        </is>
      </c>
      <c r="E68" s="4" t="inlineStr">
        <is>
          <t>Not stated</t>
        </is>
      </c>
      <c r="F68" s="4" t="inlineStr">
        <is>
          <t>Physics-specific deadline not shown on the catalogue page checked</t>
        </is>
      </c>
      <c r="G68" s="4" t="inlineStr">
        <is>
          <t>Not stated</t>
        </is>
      </c>
      <c r="H68" s="4" t="inlineStr"/>
      <c r="I68" s="4" t="inlineStr">
        <is>
          <t>Not stated</t>
        </is>
      </c>
      <c r="J68" s="4" t="inlineStr">
        <is>
          <t>Not stated on the page checked</t>
        </is>
      </c>
      <c r="K68" s="4" t="inlineStr">
        <is>
          <t>Not stated</t>
        </is>
      </c>
      <c r="L68" s="4" t="inlineStr">
        <is>
          <t>Not stated</t>
        </is>
      </c>
      <c r="M68" s="4" t="inlineStr">
        <is>
          <t>Not stated</t>
        </is>
      </c>
      <c r="N68" s="4" t="inlineStr">
        <is>
          <t>Not stated</t>
        </is>
      </c>
      <c r="O68" s="4" t="inlineStr">
        <is>
          <t>Exemption rules not shown on the page checked</t>
        </is>
      </c>
      <c r="P68" s="4" t="inlineStr">
        <is>
          <t>Required</t>
        </is>
      </c>
      <c r="Q68" s="4" t="inlineStr">
        <is>
          <t>Supervisor's name required AT APPLICATION; you must be accepted by a thesis supervisor to register</t>
        </is>
      </c>
      <c r="R68" s="4" t="inlineStr">
        <is>
          <t>Not stated</t>
        </is>
      </c>
      <c r="S68" s="4" t="inlineStr">
        <is>
          <t>International students must show financial support (supervisor stipend plus awards/trust funds)</t>
        </is>
      </c>
      <c r="T68" s="4" t="inlineStr">
        <is>
          <t>Master's usually required</t>
        </is>
      </c>
      <c r="U68" s="4" t="inlineStr">
        <is>
          <t>Joint uOttawa-Carleton institute; your supervisor's home university awards the degree.</t>
        </is>
      </c>
      <c r="V68" s="5" t="inlineStr">
        <is>
          <t>https://catalogue.uottawa.ca/en/graduate/doctorate-philosophy-physics/</t>
        </is>
      </c>
      <c r="W68" s="4" t="inlineStr">
        <is>
          <t>2026-10-21</t>
        </is>
      </c>
    </row>
    <row r="69">
      <c r="A69" s="4" t="inlineStr">
        <is>
          <t>Padova</t>
        </is>
      </c>
      <c r="B69" s="4" t="inlineStr">
        <is>
          <t>University of Padova (Università degli Studi di Padova) · PhD Course in Physics</t>
        </is>
      </c>
      <c r="C69" s="4" t="inlineStr">
        <is>
          <t>Italy</t>
        </is>
      </c>
      <c r="D69" s="4" t="inlineStr">
        <is>
          <t>Veneto (Padua)</t>
        </is>
      </c>
      <c r="E69" s="4" t="inlineStr">
        <is>
          <t>Not stated</t>
        </is>
      </c>
      <c r="F69" s="4" t="inlineStr">
        <is>
          <t>Annual call (bando). The 2026/27 (42nd cycle) call closed May 20, 2026, 1 pm (2025/26: May 13, 2025); a smaller summer call for extra places closed Aug 26, 2026. The 2027/28 (43rd cycle) call is not yet published.</t>
        </is>
      </c>
      <c r="G69" s="4" t="inlineStr">
        <is>
          <t>Not stated</t>
        </is>
      </c>
      <c r="H69" s="4" t="inlineStr"/>
      <c r="I69" s="4" t="inlineStr">
        <is>
          <t>Not stated</t>
        </is>
      </c>
      <c r="J69" s="4" t="inlineStr">
        <is>
          <t>Not stated on the page checked</t>
        </is>
      </c>
      <c r="K69" s="4" t="inlineStr">
        <is>
          <t>Not stated</t>
        </is>
      </c>
      <c r="L69" s="4" t="inlineStr">
        <is>
          <t>Not stated</t>
        </is>
      </c>
      <c r="M69" s="4" t="inlineStr">
        <is>
          <t>Not stated</t>
        </is>
      </c>
      <c r="N69" s="4" t="inlineStr">
        <is>
          <t>Not stated</t>
        </is>
      </c>
      <c r="O69" s="4" t="inlineStr">
        <is>
          <t>Not stated on the page checked</t>
        </is>
      </c>
      <c r="P69" s="4" t="inlineStr">
        <is>
          <t>Not stated</t>
        </is>
      </c>
      <c r="Q69" s="4" t="inlineStr">
        <is>
          <t>Admission is by public competition (admission exam set out in each course information sheet); no prior supervisor agreement mentioned on the pages checked</t>
        </is>
      </c>
      <c r="R69" s="4" t="inlineStr">
        <is>
          <t>Competitive</t>
        </is>
      </c>
      <c r="S69" s="4" t="inlineStr">
        <is>
          <t>Each course lists its number of places and scholarships; some places are awarded without a scholarship. Physics figures are only in the PDF information sheet.</t>
        </is>
      </c>
      <c r="T69" s="4" t="inlineStr">
        <is>
          <t>Master's usually required</t>
        </is>
      </c>
      <c r="U69" s="4" t="inlineStr">
        <is>
          <t>Apply on pica.cineca.it. The Physics information sheet (places, scholarships, exam format) is a PDF and was not checked. The course website (phd.fisica.unipd.it) and department site could not be fetched. 531 PhD positions university-wide for 2026/27.</t>
        </is>
      </c>
      <c r="V69" s="5" t="inlineStr">
        <is>
          <t>https://www.unipd.it/en/dottorato/dottorati-42-ciclo</t>
        </is>
      </c>
      <c r="W69" s="4" t="inlineStr">
        <is>
          <t>2026-10-21</t>
        </is>
      </c>
    </row>
    <row r="70">
      <c r="A70" s="4" t="inlineStr">
        <is>
          <t>University of Pittsburgh</t>
        </is>
      </c>
      <c r="B70" s="4" t="inlineStr">
        <is>
          <t>University of Pittsburgh · Department of Physics and Astronomy</t>
        </is>
      </c>
      <c r="C70" s="4" t="inlineStr">
        <is>
          <t>USA</t>
        </is>
      </c>
      <c r="D70" s="4" t="inlineStr">
        <is>
          <t>Pennsylvania</t>
        </is>
      </c>
      <c r="E70" s="6" t="n">
        <v>46371</v>
      </c>
      <c r="F70" s="4" t="inlineStr">
        <is>
          <t>December 15, 2026 for Fall 2027 (application opens September 8, 2026); Fall entry only</t>
        </is>
      </c>
      <c r="G70" s="4" t="n">
        <v>75</v>
      </c>
      <c r="H70" s="4" t="inlineStr">
        <is>
          <t>USD</t>
        </is>
      </c>
      <c r="I70" s="4" t="inlineStr">
        <is>
          <t>Available</t>
        </is>
      </c>
      <c r="J70" s="4" t="inlineStr">
        <is>
          <t>Dietrich School fee waivers via survey, case-by-case; all applicants encouraged to apply (international section says "All of the above plus"); requests submitted by Dec 20 still get full consideration</t>
        </is>
      </c>
      <c r="K70" s="4" t="inlineStr">
        <is>
          <t>Optional</t>
        </is>
      </c>
      <c r="L70" s="4" t="inlineStr">
        <is>
          <t>Optional</t>
        </is>
      </c>
      <c r="M70" s="4" t="inlineStr">
        <is>
          <t>90</t>
        </is>
      </c>
      <c r="N70" s="4" t="inlineStr">
        <is>
          <t>Not stated</t>
        </is>
      </c>
      <c r="O70" s="4" t="inlineStr">
        <is>
          <t>Exceptions case-by-case for a U.S. bachelor's or nationals of countries on a PDF list (not checked); no rule for English-medium Indian degrees on the pages checked</t>
        </is>
      </c>
      <c r="P70" s="4" t="inlineStr">
        <is>
          <t>Not required</t>
        </is>
      </c>
      <c r="Q70" s="4" t="inlineStr">
        <is>
          <t>No need to identify a faculty member, though mentioning interested faculty helps</t>
        </is>
      </c>
      <c r="R70" s="4" t="inlineStr">
        <is>
          <t>Guaranteed</t>
        </is>
      </c>
      <c r="S70" s="4" t="inlineStr">
        <is>
          <t>PhD students in good standing guaranteed 5 years of support (TA, research, etc.); MS students self-funded</t>
        </is>
      </c>
      <c r="T70" s="4" t="inlineStr">
        <is>
          <t>Direct from bachelor's</t>
        </is>
      </c>
      <c r="U70" s="4" t="inlineStr">
        <is>
          <t>Separate Astrophysics PhD in the same department. Admitted students with TOEFL below 100 take an English test at orientation. GPA 3.0 needed for a TA award.</t>
        </is>
      </c>
      <c r="V70" s="5" t="inlineStr">
        <is>
          <t>https://www.physicsandastronomy.pitt.edu/graduate/how-apply</t>
        </is>
      </c>
      <c r="W70" s="4" t="inlineStr">
        <is>
          <t>2026-10-21</t>
        </is>
      </c>
    </row>
    <row r="71">
      <c r="A71" s="4" t="inlineStr">
        <is>
          <t>University of Saskatchewan</t>
        </is>
      </c>
      <c r="B71" s="4" t="inlineStr">
        <is>
          <t>University of Saskatchewan · Department of Physics and Engineering Physics</t>
        </is>
      </c>
      <c r="C71" s="4" t="inlineStr">
        <is>
          <t>Canada</t>
        </is>
      </c>
      <c r="D71" s="4" t="inlineStr">
        <is>
          <t>Saskatchewan</t>
        </is>
      </c>
      <c r="E71" s="4" t="inlineStr">
        <is>
          <t>Rolling</t>
        </is>
      </c>
      <c r="F71" s="4" t="inlineStr">
        <is>
          <t>No fixed deadline; applications accepted throughout the year</t>
        </is>
      </c>
      <c r="G71" s="4" t="n">
        <v>145</v>
      </c>
      <c r="H71" s="4" t="inlineStr">
        <is>
          <t>CAD</t>
        </is>
      </c>
      <c r="I71" s="4" t="inlineStr">
        <is>
          <t>Not stated</t>
        </is>
      </c>
      <c r="J71" s="4" t="inlineStr">
        <is>
          <t>Not stated on the page checked</t>
        </is>
      </c>
      <c r="K71" s="4" t="inlineStr">
        <is>
          <t>Not stated</t>
        </is>
      </c>
      <c r="L71" s="4" t="inlineStr">
        <is>
          <t>Not stated</t>
        </is>
      </c>
      <c r="M71" s="4" t="inlineStr">
        <is>
          <t>86</t>
        </is>
      </c>
      <c r="N71" s="4" t="inlineStr">
        <is>
          <t>Conditional</t>
        </is>
      </c>
      <c r="O71" s="4" t="inlineStr">
        <is>
          <t>Exempt after 3+ consecutive years of full-time study (or a graduate degree) at an institution whose exclusive language of instruction is English (eligible-institution list); acceptance is at the department's discretion and a test can still be required</t>
        </is>
      </c>
      <c r="P71" s="4" t="inlineStr">
        <is>
          <t>Recommended</t>
        </is>
      </c>
      <c r="Q71" s="4" t="inlineStr">
        <is>
          <t>Supervisor approval recommended before applying; applications without a confirmed supervisor are circulated to faculty</t>
        </is>
      </c>
      <c r="R71" s="4" t="inlineStr">
        <is>
          <t>Guaranteed</t>
        </is>
      </c>
      <c r="S71" s="4" t="inlineStr">
        <is>
          <t>PhD students guaranteed a minimum stipend of CAD 20,000/year for 4 years, contingent on meeting standard academic requirements</t>
        </is>
      </c>
      <c r="T71" s="4" t="inlineStr">
        <is>
          <t>Master's usually required</t>
        </is>
      </c>
      <c r="U71" s="4" t="inlineStr">
        <is>
          <t>PhD tuition is the same for international and domestic students (CAD 5,637/year in 2026-27). Degrees awarded in Physics or Engineering Physics.</t>
        </is>
      </c>
      <c r="V71" s="5" t="inlineStr">
        <is>
          <t>https://grad.usask.ca/programs/physics-engineering-physics.php</t>
        </is>
      </c>
      <c r="W71" s="4" t="inlineStr">
        <is>
          <t>2026-10-21</t>
        </is>
      </c>
    </row>
    <row r="72">
      <c r="A72" s="4" t="inlineStr">
        <is>
          <t>UT Austin</t>
        </is>
      </c>
      <c r="B72" s="4" t="inlineStr">
        <is>
          <t>University of Texas at Austin · Department of Physics</t>
        </is>
      </c>
      <c r="C72" s="4" t="inlineStr">
        <is>
          <t>USA</t>
        </is>
      </c>
      <c r="D72" s="4" t="inlineStr">
        <is>
          <t>Texas</t>
        </is>
      </c>
      <c r="E72" s="6" t="n">
        <v>46357</v>
      </c>
      <c r="F72" s="4" t="inlineStr">
        <is>
          <t>1 December, 11:59 p.m. CST for Fall admission (one-week grace period stated). Year inferred for Fall 2027.</t>
        </is>
      </c>
      <c r="G72" s="4" t="n">
        <v>90</v>
      </c>
      <c r="H72" s="4" t="inlineStr">
        <is>
          <t>USD</t>
        </is>
      </c>
      <c r="I72" s="4" t="inlineStr">
        <is>
          <t>Limited</t>
        </is>
      </c>
      <c r="J72" s="4" t="inlineStr">
        <is>
          <t>Graduate School waivers for applicants meeting certain criteria; department not involved. Check criteria for international eligibility.</t>
        </is>
      </c>
      <c r="K72" s="4" t="inlineStr">
        <is>
          <t>Not considered</t>
        </is>
      </c>
      <c r="L72" s="4" t="inlineStr">
        <is>
          <t>Optional</t>
        </is>
      </c>
      <c r="M72" s="4" t="inlineStr">
        <is>
          <t>79</t>
        </is>
      </c>
      <c r="N72" s="4" t="inlineStr">
        <is>
          <t>Yes</t>
        </is>
      </c>
      <c r="O72" s="4" t="inlineStr">
        <is>
          <t>India is on UT's list of qualifying countries exempt from TOEFL/IELTS (also exempt with a bachelor's from a U.S./qualifying-country institution)</t>
        </is>
      </c>
      <c r="P72" s="4" t="inlineStr">
        <is>
          <t>Not stated</t>
        </is>
      </c>
      <c r="Q72" s="4" t="inlineStr">
        <is>
          <t>Admission is decided by the department committee; no pre-application supervisor requirement mentioned on the pages checked</t>
        </is>
      </c>
      <c r="R72" s="4" t="inlineStr">
        <is>
          <t>Not stated</t>
        </is>
      </c>
      <c r="S72" s="4" t="inlineStr">
        <is>
          <t>PhD funding terms not stated on the admissions page (master's applicants get no support)</t>
        </is>
      </c>
      <c r="T72" s="4" t="inlineStr">
        <is>
          <t>Direct from bachelor's</t>
        </is>
      </c>
      <c r="U72" s="4" t="inlineStr">
        <is>
          <t>Review begins mid-January; international decisions typically early to mid-March.</t>
        </is>
      </c>
      <c r="V72" s="5" t="inlineStr">
        <is>
          <t>https://physics.utexas.edu/academics/admissions</t>
        </is>
      </c>
      <c r="W72" s="4" t="inlineStr">
        <is>
          <t>2026-10-21</t>
        </is>
      </c>
    </row>
    <row r="73">
      <c r="A73" s="4" t="inlineStr">
        <is>
          <t>Toronto</t>
        </is>
      </c>
      <c r="B73" s="4" t="inlineStr">
        <is>
          <t>University of Toronto · Department of Physics</t>
        </is>
      </c>
      <c r="C73" s="4" t="inlineStr">
        <is>
          <t>Canada</t>
        </is>
      </c>
      <c r="D73" s="4" t="inlineStr">
        <is>
          <t>Ontario</t>
        </is>
      </c>
      <c r="E73" s="6" t="n">
        <v>46367</v>
      </c>
      <c r="F73" s="4" t="inlineStr">
        <is>
          <t>December 11, 11:59pm, all materials including both reference letters. Year inferred for September 2027 entry.</t>
        </is>
      </c>
      <c r="G73" s="4" t="n">
        <v>135</v>
      </c>
      <c r="H73" s="4" t="inlineStr">
        <is>
          <t>CAD</t>
        </is>
      </c>
      <c r="I73" s="4" t="inlineStr">
        <is>
          <t>None</t>
        </is>
      </c>
      <c r="J73" s="4" t="inlineStr">
        <is>
          <t>Fee cannot be waived under any circumstances</t>
        </is>
      </c>
      <c r="K73" s="4" t="inlineStr">
        <is>
          <t>Not required</t>
        </is>
      </c>
      <c r="L73" s="4" t="inlineStr">
        <is>
          <t>Not required</t>
        </is>
      </c>
      <c r="M73" s="4" t="inlineStr">
        <is>
          <t>93</t>
        </is>
      </c>
      <c r="N73" s="4" t="inlineStr">
        <is>
          <t>Yes</t>
        </is>
      </c>
      <c r="O73" s="4" t="inlineStr">
        <is>
          <t>No test if your degree is from a university where instruction AND examination are in English; an official letter is needed unless the transcript says so</t>
        </is>
      </c>
      <c r="P73" s="4" t="inlineStr">
        <is>
          <t>Not required</t>
        </is>
      </c>
      <c r="Q73" s="4" t="inlineStr">
        <is>
          <t>No supervisor needed to apply; MSc and 5-year direct-entry PhD students pick one after arrival; 4-year PhD entrants (with a master's) must secure one before registration, typically by May</t>
        </is>
      </c>
      <c r="R73" s="4" t="inlineStr">
        <is>
          <t>Not stated</t>
        </is>
      </c>
      <c r="S73" s="4" t="inlineStr">
        <is>
          <t>Funding package not described on the admissions pages checked</t>
        </is>
      </c>
      <c r="T73" s="4" t="inlineStr">
        <is>
          <t>Either</t>
        </is>
      </c>
      <c r="U73" s="4" t="inlineStr">
        <is>
          <t>Exactly two reference letters (no more). January start is domestic-only.</t>
        </is>
      </c>
      <c r="V73" s="5" t="inlineStr">
        <is>
          <t>https://www.physics.utoronto.ca/graduate/prospective-students/graduate-admissions-department-physics/application-procedure/</t>
        </is>
      </c>
      <c r="W73" s="4" t="inlineStr">
        <is>
          <t>2026-10-21</t>
        </is>
      </c>
    </row>
    <row r="74">
      <c r="A74" s="4" t="inlineStr">
        <is>
          <t>University of Virginia</t>
        </is>
      </c>
      <c r="B74" s="4" t="inlineStr">
        <is>
          <t>University of Virginia · Department of Physics (Graduate School of Arts and Sciences)</t>
        </is>
      </c>
      <c r="C74" s="4" t="inlineStr">
        <is>
          <t>USA</t>
        </is>
      </c>
      <c r="D74" s="4" t="inlineStr">
        <is>
          <t>Virginia</t>
        </is>
      </c>
      <c r="E74" s="6" t="n">
        <v>46371</v>
      </c>
      <c r="F74" s="4" t="inlineStr">
        <is>
          <t>PhD Physics: December 15 (year inferred; portal opens October 1). Physics MS has a separate Jan 15 / rolling-to-May 1 schedule.</t>
        </is>
      </c>
      <c r="G74" s="4" t="n">
        <v>85</v>
      </c>
      <c r="H74" s="4" t="inlineStr">
        <is>
          <t>USD</t>
        </is>
      </c>
      <c r="I74" s="4" t="inlineStr">
        <is>
          <t>Limited</t>
        </is>
      </c>
      <c r="J74" s="4" t="inlineStr">
        <is>
          <t>Waivers for US citizens/PRs with hardship; internationals only if citizens of UN least developed countries (India is not on the list); GSAS gives no waiver codes</t>
        </is>
      </c>
      <c r="K74" s="4" t="inlineStr">
        <is>
          <t>Not required</t>
        </is>
      </c>
      <c r="L74" s="4" t="inlineStr">
        <is>
          <t>Required</t>
        </is>
      </c>
      <c r="M74" s="4" t="inlineStr">
        <is>
          <t>90</t>
        </is>
      </c>
      <c r="N74" s="4" t="inlineStr">
        <is>
          <t>Conditional</t>
        </is>
      </c>
      <c r="O74" s="4" t="inlineStr">
        <is>
          <t>Automatic waiver if the whole undergraduate degree is from an institution where English is the primary language of instruction, with evidence (transcript or primary-language certificate); other proof considered case by case</t>
        </is>
      </c>
      <c r="P74" s="4" t="inlineStr">
        <is>
          <t>Not stated</t>
        </is>
      </c>
      <c r="Q74" s="4" t="inlineStr">
        <is>
          <t>Not stated on the page checked</t>
        </is>
      </c>
      <c r="R74" s="4" t="inlineStr">
        <is>
          <t>Guaranteed</t>
        </is>
      </c>
      <c r="S74" s="4" t="inlineStr">
        <is>
          <t>Doctoral admits get at least five years of support: 12-month stipend $37,260, full tuition/fees remission, single health insurance</t>
        </is>
      </c>
      <c r="T74" s="4" t="inlineStr">
        <is>
          <t>Not stated</t>
        </is>
      </c>
      <c r="U74" s="4" t="inlineStr">
        <is>
          <t>Physics department site (physics.virginia.edu) could not be fetched (connection reset); all facts are from Graduate School of Arts and Sciences pages. Enrolling students without an English-medium undergraduate degree must take the UVELPE exam in May. Id "uva" is used by University of Amsterdam.</t>
        </is>
      </c>
      <c r="V74" s="5" t="inlineStr">
        <is>
          <t>https://graduate.as.virginia.edu/requirements</t>
        </is>
      </c>
      <c r="W74" s="4" t="inlineStr">
        <is>
          <t>2026-10-22</t>
        </is>
      </c>
    </row>
    <row r="75">
      <c r="A75" s="4" t="inlineStr">
        <is>
          <t>University of Washington (Seattle)</t>
        </is>
      </c>
      <c r="B75" s="4" t="inlineStr">
        <is>
          <t>University of Washington (Seattle) · Department of Physics</t>
        </is>
      </c>
      <c r="C75" s="4" t="inlineStr">
        <is>
          <t>USA</t>
        </is>
      </c>
      <c r="D75" s="4" t="inlineStr">
        <is>
          <t>Washington</t>
        </is>
      </c>
      <c r="E75" s="6" t="n">
        <v>46371</v>
      </c>
      <c r="F75" s="4" t="inlineStr">
        <is>
          <t>December 15, 2026 (autumn quarter entry only)</t>
        </is>
      </c>
      <c r="G75" s="4" t="n">
        <v>90</v>
      </c>
      <c r="H75" s="4" t="inlineStr">
        <is>
          <t>USD</t>
        </is>
      </c>
      <c r="I75" s="4" t="inlineStr">
        <is>
          <t>Domestic only</t>
        </is>
      </c>
      <c r="J75" s="4" t="inlineStr">
        <is>
          <t>Physics gives no waivers; Graduate School need-based and prep-program waivers are for U.S. citizens, permanent residents and undocumented applicants</t>
        </is>
      </c>
      <c r="K75" s="4" t="inlineStr">
        <is>
          <t>Not stated</t>
        </is>
      </c>
      <c r="L75" s="4" t="inlineStr">
        <is>
          <t>Optional</t>
        </is>
      </c>
      <c r="M75" s="4" t="inlineStr">
        <is>
          <t>80</t>
        </is>
      </c>
      <c r="N75" s="4" t="inlineStr">
        <is>
          <t>Conditional</t>
        </is>
      </c>
      <c r="O75" s="4" t="inlineStr">
        <is>
          <t>An English-medium degree counts, but Indian applicants need official documentation from the institution that all instruction was in English (India is not on the no-documentation country list) and must have been in residence on or near the campus for the whole degree (no remote/online study)</t>
        </is>
      </c>
      <c r="P75" s="4" t="inlineStr">
        <is>
          <t>Not required</t>
        </is>
      </c>
      <c r="Q75" s="4" t="inlineStr">
        <is>
          <t>Admission is to the department PhD program, not to a research group; students find a research advisor during the first years</t>
        </is>
      </c>
      <c r="R75" s="4" t="inlineStr">
        <is>
          <t>Typical</t>
        </is>
      </c>
      <c r="S75" s="4" t="inlineStr">
        <is>
          <t>Department aims to support all full-time PhD students making satisfactory progress; most first-years get full TA support in the offer; later support via RA/TA (student must find an advisor for RA)</t>
        </is>
      </c>
      <c r="T75" s="4" t="inlineStr">
        <is>
          <t>Direct from bachelor's</t>
        </is>
      </c>
      <c r="U75" s="4" t="inlineStr">
        <is>
          <t>TA appointments for non-native speakers fall under UW Graduate School Policy 5.2. Students scoring below the recommended English score must take Academic English Program courses (extra fees).</t>
        </is>
      </c>
      <c r="V75" s="5" t="inlineStr">
        <is>
          <t>https://phys.washington.edu/graduate-programs</t>
        </is>
      </c>
      <c r="W75" s="4" t="inlineStr">
        <is>
          <t>2026-10-21</t>
        </is>
      </c>
    </row>
    <row r="76">
      <c r="A76" s="4" t="inlineStr">
        <is>
          <t>Waterloo</t>
        </is>
      </c>
      <c r="B76" s="4" t="inlineStr">
        <is>
          <t>University of Waterloo · Physics and Astronomy</t>
        </is>
      </c>
      <c r="C76" s="4" t="inlineStr">
        <is>
          <t>Canada</t>
        </is>
      </c>
      <c r="D76" s="4" t="inlineStr">
        <is>
          <t>Ontario</t>
        </is>
      </c>
      <c r="E76" s="6" t="n">
        <v>46396</v>
      </c>
      <c r="F76" s="4" t="inlineStr">
        <is>
          <t>January 9 for September admission (early applications encouraged). Year inferred for September 2027 entry.</t>
        </is>
      </c>
      <c r="G76" s="4" t="n">
        <v>150</v>
      </c>
      <c r="H76" s="4" t="inlineStr">
        <is>
          <t>CAD</t>
        </is>
      </c>
      <c r="I76" s="4" t="inlineStr">
        <is>
          <t>Not stated</t>
        </is>
      </c>
      <c r="J76" s="4" t="inlineStr">
        <is>
          <t>No fee-waiver route stated on the pages checked</t>
        </is>
      </c>
      <c r="K76" s="4" t="inlineStr">
        <is>
          <t>Not stated</t>
        </is>
      </c>
      <c r="L76" s="4" t="inlineStr">
        <is>
          <t>Recommended</t>
        </is>
      </c>
      <c r="M76" s="4" t="inlineStr">
        <is>
          <t>90</t>
        </is>
      </c>
      <c r="N76" s="4" t="inlineStr">
        <is>
          <t>Conditional</t>
        </is>
      </c>
      <c r="O76" s="4" t="inlineStr">
        <is>
          <t>Exempt only if 3+ years of study at a university listed in WHED with English as the ONLY language of instruction; exemption expires 2 years after graduation; medium-of-instruction letters are not accepted</t>
        </is>
      </c>
      <c r="P76" s="4" t="inlineStr">
        <is>
          <t>Required</t>
        </is>
      </c>
      <c r="Q76" s="4" t="inlineStr">
        <is>
          <t>Admission requires a faculty member willing to supervise you; contact before or after applying and name supervisors on the application</t>
        </is>
      </c>
      <c r="R76" s="4" t="inlineStr">
        <is>
          <t>Guaranteed</t>
        </is>
      </c>
      <c r="S76" s="4" t="inlineStr">
        <is>
          <t>Funding package for all graduate students within program time limits (GRS, TA, awards); TA two of three terms</t>
        </is>
      </c>
      <c r="T76" s="4" t="inlineStr">
        <is>
          <t>Master's usually required</t>
        </is>
      </c>
      <c r="U76" s="4" t="inlineStr">
        <is>
          <t>Physics PhD streams include Nanotechnology and Quantum Information (IQC, Perimeter affiliations).</t>
        </is>
      </c>
      <c r="V76" s="5" t="inlineStr">
        <is>
          <t>https://uwaterloo.ca/physics-astronomy/graduate-studies/how-apply</t>
        </is>
      </c>
      <c r="W76" s="4" t="inlineStr">
        <is>
          <t>2026-10-21</t>
        </is>
      </c>
    </row>
    <row r="77">
      <c r="A77" s="4" t="inlineStr">
        <is>
          <t>UW-Madison</t>
        </is>
      </c>
      <c r="B77" s="4" t="inlineStr">
        <is>
          <t>University of Wisconsin-Madison · Department of Physics</t>
        </is>
      </c>
      <c r="C77" s="4" t="inlineStr">
        <is>
          <t>USA</t>
        </is>
      </c>
      <c r="D77" s="4" t="inlineStr">
        <is>
          <t>Wisconsin</t>
        </is>
      </c>
      <c r="E77" s="6" t="n">
        <v>46371</v>
      </c>
      <c r="F77" s="4" t="inlineStr">
        <is>
          <t>December 15, 2026 for Fall 2027 (all materials via the Graduate School application)</t>
        </is>
      </c>
      <c r="G77" s="4" t="inlineStr">
        <is>
          <t>Not stated</t>
        </is>
      </c>
      <c r="H77" s="4" t="inlineStr"/>
      <c r="I77" s="4" t="inlineStr">
        <is>
          <t>Domestic only</t>
        </is>
      </c>
      <c r="J77" s="4" t="inlineStr">
        <is>
          <t>Department gives no waivers; Graduate School fee grants are for U.S. citizens and permanent residents only</t>
        </is>
      </c>
      <c r="K77" s="4" t="inlineStr">
        <is>
          <t>Not considered</t>
        </is>
      </c>
      <c r="L77" s="4" t="inlineStr">
        <is>
          <t>Optional</t>
        </is>
      </c>
      <c r="M77" s="4" t="inlineStr">
        <is>
          <t>92</t>
        </is>
      </c>
      <c r="N77" s="4" t="inlineStr">
        <is>
          <t>Check tool</t>
        </is>
      </c>
      <c r="O77" s="4" t="inlineStr">
        <is>
          <t>Graduate School decides via a country-selector tool; result for India not shown in static page text</t>
        </is>
      </c>
      <c r="P77" s="4" t="inlineStr">
        <is>
          <t>Not required</t>
        </is>
      </c>
      <c r="Q77" s="4" t="inlineStr">
        <is>
          <t>Advisor chosen after entry; early selection encouraged; any physics faculty or affiliate</t>
        </is>
      </c>
      <c r="R77" s="4" t="inlineStr">
        <is>
          <t>Guaranteed</t>
        </is>
      </c>
      <c r="S77" s="4" t="inlineStr">
        <is>
          <t>Five years of financial support guaranteed for admitted PhD students</t>
        </is>
      </c>
      <c r="T77" s="4" t="inlineStr">
        <is>
          <t>Direct from bachelor's</t>
        </is>
      </c>
      <c r="U77" s="4" t="inlineStr">
        <is>
          <t>Official GRE/TOEFL scores must come directly from ETS. Segregated fees about $800/semester for full-time students.</t>
        </is>
      </c>
      <c r="V77" s="5" t="inlineStr">
        <is>
          <t>https://www.physics.wisc.edu/graduate/phd-program/</t>
        </is>
      </c>
      <c r="W77" s="4" t="inlineStr">
        <is>
          <t>2026-10-21</t>
        </is>
      </c>
    </row>
    <row r="78">
      <c r="A78" s="4" t="inlineStr">
        <is>
          <t>Zurich (UZH)</t>
        </is>
      </c>
      <c r="B78" s="4" t="inlineStr">
        <is>
          <t>University of Zurich (UZH) · Doctoral Program in Physics (Physics Institute)</t>
        </is>
      </c>
      <c r="C78" s="4" t="inlineStr">
        <is>
          <t>Switzerland</t>
        </is>
      </c>
      <c r="D78" s="4" t="inlineStr">
        <is>
          <t>Zurich</t>
        </is>
      </c>
      <c r="E78" s="4" t="inlineStr">
        <is>
          <t>Per position</t>
        </is>
      </c>
      <c r="F78" s="4" t="inlineStr">
        <is>
          <t>No central call: apply to advertised open positions or contact group leaders directly. After a group accepts you, the UZH Admissions Office window for Fall-semester doctoral studies is 1 January to 31 July (pre-application required)</t>
        </is>
      </c>
      <c r="G78" s="4" t="n">
        <v>100</v>
      </c>
      <c r="H78" s="4" t="inlineStr">
        <is>
          <t>CHF</t>
        </is>
      </c>
      <c r="I78" s="4" t="inlineStr">
        <is>
          <t>Not stated</t>
        </is>
      </c>
      <c r="J78" s="4" t="inlineStr">
        <is>
          <t>Not stated on the page checked</t>
        </is>
      </c>
      <c r="K78" s="4" t="inlineStr">
        <is>
          <t>Not stated</t>
        </is>
      </c>
      <c r="L78" s="4" t="inlineStr">
        <is>
          <t>Not stated</t>
        </is>
      </c>
      <c r="M78" s="4" t="inlineStr">
        <is>
          <t>Not stated</t>
        </is>
      </c>
      <c r="N78" s="4" t="inlineStr">
        <is>
          <t>Not stated</t>
        </is>
      </c>
      <c r="O78" s="4" t="inlineStr">
        <is>
          <t>No English-test rule stated on the pages checked (the department only says good German and/or English is essential)</t>
        </is>
      </c>
      <c r="P78" s="4" t="inlineStr">
        <is>
          <t>Required</t>
        </is>
      </c>
      <c r="Q78" s="4" t="inlineStr">
        <is>
          <t>A group leader must accept you and sign a Confirmation of Supervision; the Admissions Office cannot admit you without it</t>
        </is>
      </c>
      <c r="R78" s="4" t="inlineStr">
        <is>
          <t>Typical</t>
        </is>
      </c>
      <c r="S78" s="4" t="inlineStr">
        <is>
          <t>PhD students are normally salaried; the department says the salary covers local living costs including social and health insurance</t>
        </is>
      </c>
      <c r="T78" s="4" t="inlineStr">
        <is>
          <t>Master's usually required</t>
        </is>
      </c>
      <c r="U78" s="4" t="inlineStr">
        <is>
          <t>Faculty of Science (MNF). 12 ECTS of coursework; PhD usually takes 3–4 years. Non-EU/EFTA citizens need a visa and work permit (UZH generally applies on your behalf), and processing can take up to three months.</t>
        </is>
      </c>
      <c r="V78" s="5" t="inlineStr">
        <is>
          <t>https://www.physik.uzh.ch/en/study/Study-Degree-Programmes/phd.html</t>
        </is>
      </c>
      <c r="W78" s="4" t="inlineStr">
        <is>
          <t>2026-10-21</t>
        </is>
      </c>
    </row>
    <row r="79">
      <c r="A79" s="4" t="inlineStr">
        <is>
          <t>Paris-Saclay</t>
        </is>
      </c>
      <c r="B79" s="4" t="inlineStr">
        <is>
          <t>Université Paris-Saclay · PhD Program Physics – Graduate School Physics (doctoral schools EDOM, PHENIICS, AAIF, EDPIF)</t>
        </is>
      </c>
      <c r="C79" s="4" t="inlineStr">
        <is>
          <t>France</t>
        </is>
      </c>
      <c r="D79" s="4" t="inlineStr">
        <is>
          <t>Île-de-France (Saclay/Orsay)</t>
        </is>
      </c>
      <c r="E79" s="4" t="inlineStr">
        <is>
          <t>Not stated</t>
        </is>
      </c>
      <c r="F79" s="4" t="inlineStr">
        <is>
          <t>Only the 2024 calendar is shown: ADUM applications closed Apr 23 (EDOM), Apr 29 (EDPIF) and May 10, 2024 (PHENIICS), with auditions late May to early June. 2027 dates are not published on the page checked.</t>
        </is>
      </c>
      <c r="G79" s="4" t="inlineStr">
        <is>
          <t>Not stated</t>
        </is>
      </c>
      <c r="H79" s="4" t="inlineStr"/>
      <c r="I79" s="4" t="inlineStr">
        <is>
          <t>Not stated</t>
        </is>
      </c>
      <c r="J79" s="4" t="inlineStr">
        <is>
          <t>Not stated on the page checked</t>
        </is>
      </c>
      <c r="K79" s="4" t="inlineStr">
        <is>
          <t>Not stated</t>
        </is>
      </c>
      <c r="L79" s="4" t="inlineStr">
        <is>
          <t>Not stated</t>
        </is>
      </c>
      <c r="M79" s="4" t="inlineStr">
        <is>
          <t>Not stated</t>
        </is>
      </c>
      <c r="N79" s="4" t="inlineStr">
        <is>
          <t>Not stated</t>
        </is>
      </c>
      <c r="O79" s="4" t="inlineStr">
        <is>
          <t>No English-test rule stated; EDPIF auditions may be given in English or French</t>
        </is>
      </c>
      <c r="P79" s="4" t="inlineStr">
        <is>
          <t>Required</t>
        </is>
      </c>
      <c r="Q79" s="4" t="inlineStr">
        <is>
          <t>You need a thesis topic and the thesis director's agreement before applying; the director and lab head must give favourable opinions on ADUM</t>
        </is>
      </c>
      <c r="R79" s="4" t="inlineStr">
        <is>
          <t>Guaranteed</t>
        </is>
      </c>
      <c r="S79" s="4" t="inlineStr">
        <is>
          <t>Students admitted to the programme get a 3-year salaried public doctoral contract. Contracts are limited and awarded by each doctoral school's competition (file review + audition); every PhD application must include funding or proof of financial means.</t>
        </is>
      </c>
      <c r="T79" s="4" t="inlineStr">
        <is>
          <t>Master's usually required</t>
        </is>
      </c>
      <c r="U79" s="4" t="inlineStr">
        <is>
          <t>Find a topic (ADUM thesis offers), then apply on ADUM to the doctoral school of that topic. Each school examines the file, then holds a short audition (about 15 to 25 minutes depending on the school; EDOM allows videoconference). The page's calendar is for 2024, so check each doctoral school for the 2027 campaign.</t>
        </is>
      </c>
      <c r="V79" s="5" t="inlineStr">
        <is>
          <t>https://www.universite-paris-saclay.fr/en/phd-program-physics-graduate-school-physics</t>
        </is>
      </c>
      <c r="W79" s="4" t="inlineStr">
        <is>
          <t>2026-10-21</t>
        </is>
      </c>
    </row>
    <row r="80">
      <c r="A80" s="4" t="inlineStr">
        <is>
          <t>Uppsala</t>
        </is>
      </c>
      <c r="B80" s="4" t="inlineStr">
        <is>
          <t>Uppsala University · Department of Physics and Astronomy</t>
        </is>
      </c>
      <c r="C80" s="4" t="inlineStr">
        <is>
          <t>Sweden</t>
        </is>
      </c>
      <c r="D80" s="4" t="inlineStr">
        <is>
          <t>Uppsala</t>
        </is>
      </c>
      <c r="E80" s="4" t="inlineStr">
        <is>
          <t>Per position</t>
        </is>
      </c>
      <c r="F80" s="4" t="inlineStr">
        <is>
          <t>No common call or admission date: departments advertise positions continuously during the year, each open for at least three weeks before its deadline</t>
        </is>
      </c>
      <c r="G80" s="4" t="n">
        <v>0</v>
      </c>
      <c r="H80" s="4" t="inlineStr"/>
      <c r="I80" s="4" t="inlineStr">
        <is>
          <t>No fee</t>
        </is>
      </c>
      <c r="J80" s="4" t="inlineStr">
        <is>
          <t>No fee to waive</t>
        </is>
      </c>
      <c r="K80" s="4" t="inlineStr">
        <is>
          <t>Not stated</t>
        </is>
      </c>
      <c r="L80" s="4" t="inlineStr">
        <is>
          <t>Not stated</t>
        </is>
      </c>
      <c r="M80" s="4" t="inlineStr">
        <is>
          <t>Not stated</t>
        </is>
      </c>
      <c r="N80" s="4" t="inlineStr">
        <is>
          <t>Not stated</t>
        </is>
      </c>
      <c r="O80" s="4" t="inlineStr">
        <is>
          <t>Not stated on the pages checked</t>
        </is>
      </c>
      <c r="P80" s="4" t="inlineStr">
        <is>
          <t>Required</t>
        </is>
      </c>
      <c r="Q80" s="4" t="inlineStr">
        <is>
          <t>Admission is decided after consultation with the supervisors, who normally set the main structure of the research project at admission</t>
        </is>
      </c>
      <c r="R80" s="4" t="inlineStr">
        <is>
          <t>Guaranteed</t>
        </is>
      </c>
      <c r="S80" s="4" t="inlineStr">
        <is>
          <t>On admission the department commits to four years of full-time funding, normally as an employed doctoral student. Scholarships are used restrictively and must be topped up to the employed-student level</t>
        </is>
      </c>
      <c r="T80" s="4" t="inlineStr">
        <is>
          <t>Master's usually required</t>
        </is>
      </c>
      <c r="U80" s="4" t="inlineStr">
        <is>
          <t>Physics and Theoretical Physics have separate general syllabuses under the Faculty of Science and Technology. The university PhD page requires 'good English language skills' but gives no test minimum, so check each advertisement. The funding rules come from a Faculty staff page.</t>
        </is>
      </c>
      <c r="V80" s="5" t="inlineStr">
        <is>
          <t>https://www.uu.se/en/department/physics-and-astronomy/study/phd-studies</t>
        </is>
      </c>
      <c r="W80" s="4" t="inlineStr">
        <is>
          <t>2026-10-21</t>
        </is>
      </c>
    </row>
    <row r="81">
      <c r="A81" s="4" t="inlineStr">
        <is>
          <t>Vanderbilt University</t>
        </is>
      </c>
      <c r="B81" s="4" t="inlineStr">
        <is>
          <t>Vanderbilt University · Department of Physics and Astronomy</t>
        </is>
      </c>
      <c r="C81" s="4" t="inlineStr">
        <is>
          <t>USA</t>
        </is>
      </c>
      <c r="D81" s="4" t="inlineStr">
        <is>
          <t>Tennessee</t>
        </is>
      </c>
      <c r="E81" s="6" t="n">
        <v>46357</v>
      </c>
      <c r="F81" s="4" t="inlineStr">
        <is>
          <t>December 1, 2026 for Fall 2027 (applications open August 1, 2026)</t>
        </is>
      </c>
      <c r="G81" s="4" t="n">
        <v>95</v>
      </c>
      <c r="H81" s="4" t="inlineStr">
        <is>
          <t>USD</t>
        </is>
      </c>
      <c r="I81" s="4" t="inlineStr">
        <is>
          <t>Limited</t>
        </is>
      </c>
      <c r="J81" s="4" t="inlineStr">
        <is>
          <t>Internationals only eligible for a discretionary department waiver; Physics grants a small number (rolling from late October), requested by email after submitting and before the deadline</t>
        </is>
      </c>
      <c r="K81" s="4" t="inlineStr">
        <is>
          <t>Not considered</t>
        </is>
      </c>
      <c r="L81" s="4" t="inlineStr">
        <is>
          <t>Not considered</t>
        </is>
      </c>
      <c r="M81" s="4" t="inlineStr">
        <is>
          <t>89</t>
        </is>
      </c>
      <c r="N81" s="4" t="inlineStr">
        <is>
          <t>Conditional</t>
        </is>
      </c>
      <c r="O81" s="4" t="inlineStr">
        <is>
          <t>Waived if the entire bachelor's was taught in English in a country with multiple official languages including English (India's case), with proof: Registrar/Controller of Examinations MOI letter, or transcript/mark sheet stating English medium. Graduate School summary also lists India among English-language university countries.</t>
        </is>
      </c>
      <c r="P81" s="4" t="inlineStr">
        <is>
          <t>Not stated</t>
        </is>
      </c>
      <c r="Q81" s="4" t="inlineStr">
        <is>
          <t>Not stated on the page checked</t>
        </is>
      </c>
      <c r="R81" s="4" t="inlineStr">
        <is>
          <t>Guaranteed</t>
        </is>
      </c>
      <c r="S81" s="4" t="inlineStr">
        <is>
          <t>Students receive a five-year support package: full tuition waiver, health insurance, stipend (currently $36,500/yr)</t>
        </is>
      </c>
      <c r="T81" s="4" t="inlineStr">
        <is>
          <t>Not stated</t>
        </is>
      </c>
      <c r="U81" s="4" t="inlineStr">
        <is>
          <t>Separate Astrophysics PhD in the same department. Statement of purpose 1000-2000 words. Funded campus visit only for admits residing in the USA.</t>
        </is>
      </c>
      <c r="V81" s="5" t="inlineStr">
        <is>
          <t>https://as.vanderbilt.edu/physics-astronomy/phd-physics-admissions/</t>
        </is>
      </c>
      <c r="W81" s="4" t="inlineStr">
        <is>
          <t>2026-10-21</t>
        </is>
      </c>
    </row>
    <row r="82">
      <c r="A82" s="4" t="inlineStr">
        <is>
          <t>Western University</t>
        </is>
      </c>
      <c r="B82" s="4" t="inlineStr">
        <is>
          <t>Western University · Department of Physics and Astronomy</t>
        </is>
      </c>
      <c r="C82" s="4" t="inlineStr">
        <is>
          <t>Canada</t>
        </is>
      </c>
      <c r="D82" s="4" t="inlineStr">
        <is>
          <t>Ontario</t>
        </is>
      </c>
      <c r="E82" s="6" t="n">
        <v>46447</v>
      </c>
      <c r="F82" s="4" t="inlineStr">
        <is>
          <t>International applicants: March 1, 2027, including reference letters and transcripts. Applications are reviewed first-come, first-served with rolling offers, so applying early helps. (Domestic: up to August 30/31.)</t>
        </is>
      </c>
      <c r="G82" s="4" t="n">
        <v>185</v>
      </c>
      <c r="H82" s="4" t="inlineStr">
        <is>
          <t>CAD</t>
        </is>
      </c>
      <c r="I82" s="4" t="inlineStr">
        <is>
          <t>Not stated</t>
        </is>
      </c>
      <c r="J82" s="4" t="inlineStr">
        <is>
          <t>Not stated on the page checked</t>
        </is>
      </c>
      <c r="K82" s="4" t="inlineStr">
        <is>
          <t>Not required</t>
        </is>
      </c>
      <c r="L82" s="4" t="inlineStr">
        <is>
          <t>Recommended</t>
        </is>
      </c>
      <c r="M82" s="4" t="inlineStr">
        <is>
          <t>90</t>
        </is>
      </c>
      <c r="N82" s="4" t="inlineStr">
        <is>
          <t>No</t>
        </is>
      </c>
      <c r="O82" s="4" t="inlineStr">
        <is>
          <t>Automatic exemption only if English is your first language, or after 2+ full-time years at an English-speaking institution in a listed country whose primary language is English. India is not on the list.</t>
        </is>
      </c>
      <c r="P82" s="4" t="inlineStr">
        <is>
          <t>Required</t>
        </is>
      </c>
      <c r="Q82" s="4" t="inlineStr">
        <is>
          <t>Every admission offer is made together with the student's faculty supervisor; contacting potential supervisors before applying is strongly encouraged</t>
        </is>
      </c>
      <c r="R82" s="4" t="inlineStr">
        <is>
          <t>Guaranteed</t>
        </is>
      </c>
      <c r="S82" s="4" t="inlineStr">
        <is>
          <t>All MSc and PhD students receive a funding package covering living expenses and tuition (scholarship, fellowship and TA); no minimum amount is stated on the page (2026-27 stipend examples are in a linked PDF)</t>
        </is>
      </c>
      <c r="T82" s="4" t="inlineStr">
        <is>
          <t>Master's usually required</t>
        </is>
      </c>
      <c r="U82" s="4" t="inlineStr">
        <is>
          <t>Exemption country list (SGPS) does not include India. Application fee is refunded to admitted students who enrol in Physics &amp; Astronomy. Department TOEFL/IELTS minimums exceed SGPS minimums.</t>
        </is>
      </c>
      <c r="V82" s="5" t="inlineStr">
        <is>
          <t>https://www.physics.uwo.ca/graduate/future_students/admission_requirements.html</t>
        </is>
      </c>
      <c r="W82" s="4" t="inlineStr">
        <is>
          <t>2026-10-21</t>
        </is>
      </c>
    </row>
    <row r="83">
      <c r="A83" s="4" t="inlineStr">
        <is>
          <t>Yale University</t>
        </is>
      </c>
      <c r="B83" s="4" t="inlineStr">
        <is>
          <t>Yale University · Department of Physics</t>
        </is>
      </c>
      <c r="C83" s="4" t="inlineStr">
        <is>
          <t>USA</t>
        </is>
      </c>
      <c r="D83" s="4" t="inlineStr">
        <is>
          <t>Connecticut</t>
        </is>
      </c>
      <c r="E83" s="6" t="n">
        <v>46371</v>
      </c>
      <c r="F83" s="4" t="inlineStr">
        <is>
          <t>December 15, 2026, 11:59 pm Eastern (GSAS lists Physics under Dec 15, 2026)</t>
        </is>
      </c>
      <c r="G83" s="4" t="n">
        <v>105</v>
      </c>
      <c r="H83" s="4" t="inlineStr">
        <is>
          <t>USD</t>
        </is>
      </c>
      <c r="I83" s="4" t="inlineStr">
        <is>
          <t>Available</t>
        </is>
      </c>
      <c r="J83" s="4" t="inlineStr">
        <is>
          <t>Non-US citizens are eligible to request; granted for listed special programs or documented financial hardship. Request separately, well before the Dec 15 deadline (form closes Jan 2).</t>
        </is>
      </c>
      <c r="K83" s="4" t="inlineStr">
        <is>
          <t>Optional</t>
        </is>
      </c>
      <c r="L83" s="4" t="inlineStr">
        <is>
          <t>Optional</t>
        </is>
      </c>
      <c r="M83" s="4" t="inlineStr">
        <is>
          <t>Not stated</t>
        </is>
      </c>
      <c r="N83" s="4" t="inlineStr">
        <is>
          <t>Conditional</t>
        </is>
      </c>
      <c r="O83" s="4" t="inlineStr">
        <is>
          <t>Exempt with a bachelor's from an institution where English is the primary language of instruction AND at least three years in residence there; answered in the application, no separate documents; a master's or PhD does not count</t>
        </is>
      </c>
      <c r="P83" s="4" t="inlineStr">
        <is>
          <t>Not stated</t>
        </is>
      </c>
      <c r="Q83" s="4" t="inlineStr">
        <is>
          <t>No pre-application supervisor requirement mentioned</t>
        </is>
      </c>
      <c r="R83" s="4" t="inlineStr">
        <is>
          <t>Guaranteed</t>
        </is>
      </c>
      <c r="S83" s="4" t="inlineStr">
        <is>
          <t>Every PhD student gets full tuition plus a stipend for at least five years; department FAQ says all admitted students receive financial aid</t>
        </is>
      </c>
      <c r="T83" s="4" t="inlineStr">
        <is>
          <t>Direct from bachelor's</t>
        </is>
      </c>
      <c r="U83" s="4" t="inlineStr">
        <is>
          <t>Applied Physics and Astronomy are separate Yale programs (also Dec 15). The department apply page still shows an old 'deadline has passed' banner above the current Dec 15, 2026 text.</t>
        </is>
      </c>
      <c r="V83" s="5" t="inlineStr">
        <is>
          <t>https://physics.yale.edu/apply</t>
        </is>
      </c>
      <c r="W83" s="4" t="inlineStr">
        <is>
          <t>2026-10-21</t>
        </is>
      </c>
    </row>
  </sheetData>
  <autoFilter ref="A1:W83"/>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 xmlns:r="http://schemas.openxmlformats.org/officeDocument/2006/relationships" ref="V50" r:id="rId49"/>
    <hyperlink xmlns:r="http://schemas.openxmlformats.org/officeDocument/2006/relationships" ref="V51" r:id="rId50"/>
    <hyperlink xmlns:r="http://schemas.openxmlformats.org/officeDocument/2006/relationships" ref="V52" r:id="rId51"/>
    <hyperlink xmlns:r="http://schemas.openxmlformats.org/officeDocument/2006/relationships" ref="V53" r:id="rId52"/>
    <hyperlink xmlns:r="http://schemas.openxmlformats.org/officeDocument/2006/relationships" ref="V54" r:id="rId53"/>
    <hyperlink xmlns:r="http://schemas.openxmlformats.org/officeDocument/2006/relationships" ref="V55" r:id="rId54"/>
    <hyperlink xmlns:r="http://schemas.openxmlformats.org/officeDocument/2006/relationships" ref="V56" r:id="rId55"/>
    <hyperlink xmlns:r="http://schemas.openxmlformats.org/officeDocument/2006/relationships" ref="V57" r:id="rId56"/>
    <hyperlink xmlns:r="http://schemas.openxmlformats.org/officeDocument/2006/relationships" ref="V58" r:id="rId57"/>
    <hyperlink xmlns:r="http://schemas.openxmlformats.org/officeDocument/2006/relationships" ref="V59" r:id="rId58"/>
    <hyperlink xmlns:r="http://schemas.openxmlformats.org/officeDocument/2006/relationships" ref="V60" r:id="rId59"/>
    <hyperlink xmlns:r="http://schemas.openxmlformats.org/officeDocument/2006/relationships" ref="V61" r:id="rId60"/>
    <hyperlink xmlns:r="http://schemas.openxmlformats.org/officeDocument/2006/relationships" ref="V62" r:id="rId61"/>
    <hyperlink xmlns:r="http://schemas.openxmlformats.org/officeDocument/2006/relationships" ref="V63" r:id="rId62"/>
    <hyperlink xmlns:r="http://schemas.openxmlformats.org/officeDocument/2006/relationships" ref="V64" r:id="rId63"/>
    <hyperlink xmlns:r="http://schemas.openxmlformats.org/officeDocument/2006/relationships" ref="V65" r:id="rId64"/>
    <hyperlink xmlns:r="http://schemas.openxmlformats.org/officeDocument/2006/relationships" ref="V66" r:id="rId65"/>
    <hyperlink xmlns:r="http://schemas.openxmlformats.org/officeDocument/2006/relationships" ref="V67" r:id="rId66"/>
    <hyperlink xmlns:r="http://schemas.openxmlformats.org/officeDocument/2006/relationships" ref="V68" r:id="rId67"/>
    <hyperlink xmlns:r="http://schemas.openxmlformats.org/officeDocument/2006/relationships" ref="V69" r:id="rId68"/>
    <hyperlink xmlns:r="http://schemas.openxmlformats.org/officeDocument/2006/relationships" ref="V70" r:id="rId69"/>
    <hyperlink xmlns:r="http://schemas.openxmlformats.org/officeDocument/2006/relationships" ref="V71" r:id="rId70"/>
    <hyperlink xmlns:r="http://schemas.openxmlformats.org/officeDocument/2006/relationships" ref="V72" r:id="rId71"/>
    <hyperlink xmlns:r="http://schemas.openxmlformats.org/officeDocument/2006/relationships" ref="V73" r:id="rId72"/>
    <hyperlink xmlns:r="http://schemas.openxmlformats.org/officeDocument/2006/relationships" ref="V74" r:id="rId73"/>
    <hyperlink xmlns:r="http://schemas.openxmlformats.org/officeDocument/2006/relationships" ref="V75" r:id="rId74"/>
    <hyperlink xmlns:r="http://schemas.openxmlformats.org/officeDocument/2006/relationships" ref="V76" r:id="rId75"/>
    <hyperlink xmlns:r="http://schemas.openxmlformats.org/officeDocument/2006/relationships" ref="V77" r:id="rId76"/>
    <hyperlink xmlns:r="http://schemas.openxmlformats.org/officeDocument/2006/relationships" ref="V78" r:id="rId77"/>
    <hyperlink xmlns:r="http://schemas.openxmlformats.org/officeDocument/2006/relationships" ref="V79" r:id="rId78"/>
    <hyperlink xmlns:r="http://schemas.openxmlformats.org/officeDocument/2006/relationships" ref="V80" r:id="rId79"/>
    <hyperlink xmlns:r="http://schemas.openxmlformats.org/officeDocument/2006/relationships" ref="V81" r:id="rId80"/>
    <hyperlink xmlns:r="http://schemas.openxmlformats.org/officeDocument/2006/relationships" ref="V82" r:id="rId81"/>
    <hyperlink xmlns:r="http://schemas.openxmlformats.org/officeDocument/2006/relationships" ref="V83" r:id="rId8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9" customWidth="1" min="2" max="2"/>
    <col width="12" customWidth="1" min="3" max="3"/>
    <col width="9" customWidth="1" min="4" max="4"/>
    <col width="8" customWidth="1" min="5" max="5"/>
    <col width="9" customWidth="1" min="6" max="6"/>
    <col width="14" customWidth="1" min="7" max="7"/>
    <col width="13" customWidth="1" min="8" max="8"/>
    <col width="14" customWidth="1" min="9" max="9"/>
    <col width="14" customWidth="1" min="10" max="10"/>
    <col width="18" customWidth="1" min="11" max="11"/>
    <col width="9" customWidth="1" min="12" max="12"/>
    <col width="9" customWidth="1" min="13" max="13"/>
    <col width="16" customWidth="1" min="14" max="14"/>
    <col width="40" customWidth="1" min="15" max="15"/>
  </cols>
  <sheetData>
    <row r="1">
      <c r="A1" s="3" t="inlineStr">
        <is>
          <t>Program (choose)</t>
        </is>
      </c>
      <c r="B1" s="3" t="inlineStr">
        <is>
          <t>Country</t>
        </is>
      </c>
      <c r="C1" s="3" t="inlineStr">
        <is>
          <t>Deadline</t>
        </is>
      </c>
      <c r="D1" s="3" t="inlineStr">
        <is>
          <t>Days left</t>
        </is>
      </c>
      <c r="E1" s="3" t="inlineStr">
        <is>
          <t>Fee</t>
        </is>
      </c>
      <c r="F1" s="3" t="inlineStr">
        <is>
          <t>Currency</t>
        </is>
      </c>
      <c r="G1" s="3" t="inlineStr">
        <is>
          <t>Intl fee waiver</t>
        </is>
      </c>
      <c r="H1" s="3" t="inlineStr">
        <is>
          <t>Physics GRE</t>
        </is>
      </c>
      <c r="I1" s="3" t="inlineStr">
        <is>
          <t>English waiver</t>
        </is>
      </c>
      <c r="J1" s="3" t="inlineStr">
        <is>
          <t>Supervisor</t>
        </is>
      </c>
      <c r="K1" s="3" t="inlineStr">
        <is>
          <t>Status</t>
        </is>
      </c>
      <c r="L1" s="3" t="inlineStr">
        <is>
          <t>SOP ready</t>
        </is>
      </c>
      <c r="M1" s="3" t="inlineStr">
        <is>
          <t>Letters confirmed</t>
        </is>
      </c>
      <c r="N1" s="3" t="inlineStr">
        <is>
          <t>Fee paid / waiver</t>
        </is>
      </c>
      <c r="O1" s="3" t="inlineStr">
        <is>
          <t>My notes</t>
        </is>
      </c>
    </row>
    <row r="2">
      <c r="A2" s="7" t="n"/>
      <c r="B2">
        <f>IF($A2="","",INDEX(Programs!$C$2:$C$83,MATCH($A2,Programs!$A$2:$A$83,0)))</f>
        <v/>
      </c>
      <c r="C2" s="8">
        <f>IF($A2="","",INDEX(Programs!$E$2:$E$83,MATCH($A2,Programs!$A$2:$A$83,0)))</f>
        <v/>
      </c>
      <c r="D2">
        <f>IF(ISNUMBER(C2),C2-TODAY(),"")</f>
        <v/>
      </c>
      <c r="E2">
        <f>IF($A2="","",INDEX(Programs!$G$2:$G$83,MATCH($A2,Programs!$A$2:$A$83,0)))</f>
        <v/>
      </c>
      <c r="F2">
        <f>IF($A2="","",INDEX(Programs!$H$2:$H$83,MATCH($A2,Programs!$A$2:$A$83,0)))</f>
        <v/>
      </c>
      <c r="G2">
        <f>IF($A2="","",INDEX(Programs!$I$2:$I$83,MATCH($A2,Programs!$A$2:$A$83,0)))</f>
        <v/>
      </c>
      <c r="H2">
        <f>IF($A2="","",INDEX(Programs!$L$2:$L$83,MATCH($A2,Programs!$A$2:$A$83,0)))</f>
        <v/>
      </c>
      <c r="I2">
        <f>IF($A2="","",INDEX(Programs!$N$2:$N$83,MATCH($A2,Programs!$A$2:$A$83,0)))</f>
        <v/>
      </c>
      <c r="J2">
        <f>IF($A2="","",INDEX(Programs!$P$2:$P$83,MATCH($A2,Programs!$A$2:$A$83,0)))</f>
        <v/>
      </c>
      <c r="K2" s="7" t="n"/>
      <c r="L2" s="7" t="n"/>
      <c r="M2" s="7" t="n"/>
      <c r="N2" s="7" t="n"/>
      <c r="O2" s="7" t="n"/>
    </row>
    <row r="3">
      <c r="A3" s="7" t="n"/>
      <c r="B3">
        <f>IF($A3="","",INDEX(Programs!$C$2:$C$83,MATCH($A3,Programs!$A$2:$A$83,0)))</f>
        <v/>
      </c>
      <c r="C3" s="8">
        <f>IF($A3="","",INDEX(Programs!$E$2:$E$83,MATCH($A3,Programs!$A$2:$A$83,0)))</f>
        <v/>
      </c>
      <c r="D3">
        <f>IF(ISNUMBER(C3),C3-TODAY(),"")</f>
        <v/>
      </c>
      <c r="E3">
        <f>IF($A3="","",INDEX(Programs!$G$2:$G$83,MATCH($A3,Programs!$A$2:$A$83,0)))</f>
        <v/>
      </c>
      <c r="F3">
        <f>IF($A3="","",INDEX(Programs!$H$2:$H$83,MATCH($A3,Programs!$A$2:$A$83,0)))</f>
        <v/>
      </c>
      <c r="G3">
        <f>IF($A3="","",INDEX(Programs!$I$2:$I$83,MATCH($A3,Programs!$A$2:$A$83,0)))</f>
        <v/>
      </c>
      <c r="H3">
        <f>IF($A3="","",INDEX(Programs!$L$2:$L$83,MATCH($A3,Programs!$A$2:$A$83,0)))</f>
        <v/>
      </c>
      <c r="I3">
        <f>IF($A3="","",INDEX(Programs!$N$2:$N$83,MATCH($A3,Programs!$A$2:$A$83,0)))</f>
        <v/>
      </c>
      <c r="J3">
        <f>IF($A3="","",INDEX(Programs!$P$2:$P$83,MATCH($A3,Programs!$A$2:$A$83,0)))</f>
        <v/>
      </c>
      <c r="K3" s="7" t="n"/>
      <c r="L3" s="7" t="n"/>
      <c r="M3" s="7" t="n"/>
      <c r="N3" s="7" t="n"/>
      <c r="O3" s="7" t="n"/>
    </row>
    <row r="4">
      <c r="A4" s="7" t="n"/>
      <c r="B4">
        <f>IF($A4="","",INDEX(Programs!$C$2:$C$83,MATCH($A4,Programs!$A$2:$A$83,0)))</f>
        <v/>
      </c>
      <c r="C4" s="8">
        <f>IF($A4="","",INDEX(Programs!$E$2:$E$83,MATCH($A4,Programs!$A$2:$A$83,0)))</f>
        <v/>
      </c>
      <c r="D4">
        <f>IF(ISNUMBER(C4),C4-TODAY(),"")</f>
        <v/>
      </c>
      <c r="E4">
        <f>IF($A4="","",INDEX(Programs!$G$2:$G$83,MATCH($A4,Programs!$A$2:$A$83,0)))</f>
        <v/>
      </c>
      <c r="F4">
        <f>IF($A4="","",INDEX(Programs!$H$2:$H$83,MATCH($A4,Programs!$A$2:$A$83,0)))</f>
        <v/>
      </c>
      <c r="G4">
        <f>IF($A4="","",INDEX(Programs!$I$2:$I$83,MATCH($A4,Programs!$A$2:$A$83,0)))</f>
        <v/>
      </c>
      <c r="H4">
        <f>IF($A4="","",INDEX(Programs!$L$2:$L$83,MATCH($A4,Programs!$A$2:$A$83,0)))</f>
        <v/>
      </c>
      <c r="I4">
        <f>IF($A4="","",INDEX(Programs!$N$2:$N$83,MATCH($A4,Programs!$A$2:$A$83,0)))</f>
        <v/>
      </c>
      <c r="J4">
        <f>IF($A4="","",INDEX(Programs!$P$2:$P$83,MATCH($A4,Programs!$A$2:$A$83,0)))</f>
        <v/>
      </c>
      <c r="K4" s="7" t="n"/>
      <c r="L4" s="7" t="n"/>
      <c r="M4" s="7" t="n"/>
      <c r="N4" s="7" t="n"/>
      <c r="O4" s="7" t="n"/>
    </row>
    <row r="5">
      <c r="A5" s="7" t="n"/>
      <c r="B5">
        <f>IF($A5="","",INDEX(Programs!$C$2:$C$83,MATCH($A5,Programs!$A$2:$A$83,0)))</f>
        <v/>
      </c>
      <c r="C5" s="8">
        <f>IF($A5="","",INDEX(Programs!$E$2:$E$83,MATCH($A5,Programs!$A$2:$A$83,0)))</f>
        <v/>
      </c>
      <c r="D5">
        <f>IF(ISNUMBER(C5),C5-TODAY(),"")</f>
        <v/>
      </c>
      <c r="E5">
        <f>IF($A5="","",INDEX(Programs!$G$2:$G$83,MATCH($A5,Programs!$A$2:$A$83,0)))</f>
        <v/>
      </c>
      <c r="F5">
        <f>IF($A5="","",INDEX(Programs!$H$2:$H$83,MATCH($A5,Programs!$A$2:$A$83,0)))</f>
        <v/>
      </c>
      <c r="G5">
        <f>IF($A5="","",INDEX(Programs!$I$2:$I$83,MATCH($A5,Programs!$A$2:$A$83,0)))</f>
        <v/>
      </c>
      <c r="H5">
        <f>IF($A5="","",INDEX(Programs!$L$2:$L$83,MATCH($A5,Programs!$A$2:$A$83,0)))</f>
        <v/>
      </c>
      <c r="I5">
        <f>IF($A5="","",INDEX(Programs!$N$2:$N$83,MATCH($A5,Programs!$A$2:$A$83,0)))</f>
        <v/>
      </c>
      <c r="J5">
        <f>IF($A5="","",INDEX(Programs!$P$2:$P$83,MATCH($A5,Programs!$A$2:$A$83,0)))</f>
        <v/>
      </c>
      <c r="K5" s="7" t="n"/>
      <c r="L5" s="7" t="n"/>
      <c r="M5" s="7" t="n"/>
      <c r="N5" s="7" t="n"/>
      <c r="O5" s="7" t="n"/>
    </row>
    <row r="6">
      <c r="A6" s="7" t="n"/>
      <c r="B6">
        <f>IF($A6="","",INDEX(Programs!$C$2:$C$83,MATCH($A6,Programs!$A$2:$A$83,0)))</f>
        <v/>
      </c>
      <c r="C6" s="8">
        <f>IF($A6="","",INDEX(Programs!$E$2:$E$83,MATCH($A6,Programs!$A$2:$A$83,0)))</f>
        <v/>
      </c>
      <c r="D6">
        <f>IF(ISNUMBER(C6),C6-TODAY(),"")</f>
        <v/>
      </c>
      <c r="E6">
        <f>IF($A6="","",INDEX(Programs!$G$2:$G$83,MATCH($A6,Programs!$A$2:$A$83,0)))</f>
        <v/>
      </c>
      <c r="F6">
        <f>IF($A6="","",INDEX(Programs!$H$2:$H$83,MATCH($A6,Programs!$A$2:$A$83,0)))</f>
        <v/>
      </c>
      <c r="G6">
        <f>IF($A6="","",INDEX(Programs!$I$2:$I$83,MATCH($A6,Programs!$A$2:$A$83,0)))</f>
        <v/>
      </c>
      <c r="H6">
        <f>IF($A6="","",INDEX(Programs!$L$2:$L$83,MATCH($A6,Programs!$A$2:$A$83,0)))</f>
        <v/>
      </c>
      <c r="I6">
        <f>IF($A6="","",INDEX(Programs!$N$2:$N$83,MATCH($A6,Programs!$A$2:$A$83,0)))</f>
        <v/>
      </c>
      <c r="J6">
        <f>IF($A6="","",INDEX(Programs!$P$2:$P$83,MATCH($A6,Programs!$A$2:$A$83,0)))</f>
        <v/>
      </c>
      <c r="K6" s="7" t="n"/>
      <c r="L6" s="7" t="n"/>
      <c r="M6" s="7" t="n"/>
      <c r="N6" s="7" t="n"/>
      <c r="O6" s="7" t="n"/>
    </row>
    <row r="7">
      <c r="A7" s="7" t="n"/>
      <c r="B7">
        <f>IF($A7="","",INDEX(Programs!$C$2:$C$83,MATCH($A7,Programs!$A$2:$A$83,0)))</f>
        <v/>
      </c>
      <c r="C7" s="8">
        <f>IF($A7="","",INDEX(Programs!$E$2:$E$83,MATCH($A7,Programs!$A$2:$A$83,0)))</f>
        <v/>
      </c>
      <c r="D7">
        <f>IF(ISNUMBER(C7),C7-TODAY(),"")</f>
        <v/>
      </c>
      <c r="E7">
        <f>IF($A7="","",INDEX(Programs!$G$2:$G$83,MATCH($A7,Programs!$A$2:$A$83,0)))</f>
        <v/>
      </c>
      <c r="F7">
        <f>IF($A7="","",INDEX(Programs!$H$2:$H$83,MATCH($A7,Programs!$A$2:$A$83,0)))</f>
        <v/>
      </c>
      <c r="G7">
        <f>IF($A7="","",INDEX(Programs!$I$2:$I$83,MATCH($A7,Programs!$A$2:$A$83,0)))</f>
        <v/>
      </c>
      <c r="H7">
        <f>IF($A7="","",INDEX(Programs!$L$2:$L$83,MATCH($A7,Programs!$A$2:$A$83,0)))</f>
        <v/>
      </c>
      <c r="I7">
        <f>IF($A7="","",INDEX(Programs!$N$2:$N$83,MATCH($A7,Programs!$A$2:$A$83,0)))</f>
        <v/>
      </c>
      <c r="J7">
        <f>IF($A7="","",INDEX(Programs!$P$2:$P$83,MATCH($A7,Programs!$A$2:$A$83,0)))</f>
        <v/>
      </c>
      <c r="K7" s="7" t="n"/>
      <c r="L7" s="7" t="n"/>
      <c r="M7" s="7" t="n"/>
      <c r="N7" s="7" t="n"/>
      <c r="O7" s="7" t="n"/>
    </row>
    <row r="8">
      <c r="A8" s="7" t="n"/>
      <c r="B8">
        <f>IF($A8="","",INDEX(Programs!$C$2:$C$83,MATCH($A8,Programs!$A$2:$A$83,0)))</f>
        <v/>
      </c>
      <c r="C8" s="8">
        <f>IF($A8="","",INDEX(Programs!$E$2:$E$83,MATCH($A8,Programs!$A$2:$A$83,0)))</f>
        <v/>
      </c>
      <c r="D8">
        <f>IF(ISNUMBER(C8),C8-TODAY(),"")</f>
        <v/>
      </c>
      <c r="E8">
        <f>IF($A8="","",INDEX(Programs!$G$2:$G$83,MATCH($A8,Programs!$A$2:$A$83,0)))</f>
        <v/>
      </c>
      <c r="F8">
        <f>IF($A8="","",INDEX(Programs!$H$2:$H$83,MATCH($A8,Programs!$A$2:$A$83,0)))</f>
        <v/>
      </c>
      <c r="G8">
        <f>IF($A8="","",INDEX(Programs!$I$2:$I$83,MATCH($A8,Programs!$A$2:$A$83,0)))</f>
        <v/>
      </c>
      <c r="H8">
        <f>IF($A8="","",INDEX(Programs!$L$2:$L$83,MATCH($A8,Programs!$A$2:$A$83,0)))</f>
        <v/>
      </c>
      <c r="I8">
        <f>IF($A8="","",INDEX(Programs!$N$2:$N$83,MATCH($A8,Programs!$A$2:$A$83,0)))</f>
        <v/>
      </c>
      <c r="J8">
        <f>IF($A8="","",INDEX(Programs!$P$2:$P$83,MATCH($A8,Programs!$A$2:$A$83,0)))</f>
        <v/>
      </c>
      <c r="K8" s="7" t="n"/>
      <c r="L8" s="7" t="n"/>
      <c r="M8" s="7" t="n"/>
      <c r="N8" s="7" t="n"/>
      <c r="O8" s="7" t="n"/>
    </row>
    <row r="9">
      <c r="A9" s="7" t="n"/>
      <c r="B9">
        <f>IF($A9="","",INDEX(Programs!$C$2:$C$83,MATCH($A9,Programs!$A$2:$A$83,0)))</f>
        <v/>
      </c>
      <c r="C9" s="8">
        <f>IF($A9="","",INDEX(Programs!$E$2:$E$83,MATCH($A9,Programs!$A$2:$A$83,0)))</f>
        <v/>
      </c>
      <c r="D9">
        <f>IF(ISNUMBER(C9),C9-TODAY(),"")</f>
        <v/>
      </c>
      <c r="E9">
        <f>IF($A9="","",INDEX(Programs!$G$2:$G$83,MATCH($A9,Programs!$A$2:$A$83,0)))</f>
        <v/>
      </c>
      <c r="F9">
        <f>IF($A9="","",INDEX(Programs!$H$2:$H$83,MATCH($A9,Programs!$A$2:$A$83,0)))</f>
        <v/>
      </c>
      <c r="G9">
        <f>IF($A9="","",INDEX(Programs!$I$2:$I$83,MATCH($A9,Programs!$A$2:$A$83,0)))</f>
        <v/>
      </c>
      <c r="H9">
        <f>IF($A9="","",INDEX(Programs!$L$2:$L$83,MATCH($A9,Programs!$A$2:$A$83,0)))</f>
        <v/>
      </c>
      <c r="I9">
        <f>IF($A9="","",INDEX(Programs!$N$2:$N$83,MATCH($A9,Programs!$A$2:$A$83,0)))</f>
        <v/>
      </c>
      <c r="J9">
        <f>IF($A9="","",INDEX(Programs!$P$2:$P$83,MATCH($A9,Programs!$A$2:$A$83,0)))</f>
        <v/>
      </c>
      <c r="K9" s="7" t="n"/>
      <c r="L9" s="7" t="n"/>
      <c r="M9" s="7" t="n"/>
      <c r="N9" s="7" t="n"/>
      <c r="O9" s="7" t="n"/>
    </row>
    <row r="10">
      <c r="A10" s="7" t="n"/>
      <c r="B10">
        <f>IF($A10="","",INDEX(Programs!$C$2:$C$83,MATCH($A10,Programs!$A$2:$A$83,0)))</f>
        <v/>
      </c>
      <c r="C10" s="8">
        <f>IF($A10="","",INDEX(Programs!$E$2:$E$83,MATCH($A10,Programs!$A$2:$A$83,0)))</f>
        <v/>
      </c>
      <c r="D10">
        <f>IF(ISNUMBER(C10),C10-TODAY(),"")</f>
        <v/>
      </c>
      <c r="E10">
        <f>IF($A10="","",INDEX(Programs!$G$2:$G$83,MATCH($A10,Programs!$A$2:$A$83,0)))</f>
        <v/>
      </c>
      <c r="F10">
        <f>IF($A10="","",INDEX(Programs!$H$2:$H$83,MATCH($A10,Programs!$A$2:$A$83,0)))</f>
        <v/>
      </c>
      <c r="G10">
        <f>IF($A10="","",INDEX(Programs!$I$2:$I$83,MATCH($A10,Programs!$A$2:$A$83,0)))</f>
        <v/>
      </c>
      <c r="H10">
        <f>IF($A10="","",INDEX(Programs!$L$2:$L$83,MATCH($A10,Programs!$A$2:$A$83,0)))</f>
        <v/>
      </c>
      <c r="I10">
        <f>IF($A10="","",INDEX(Programs!$N$2:$N$83,MATCH($A10,Programs!$A$2:$A$83,0)))</f>
        <v/>
      </c>
      <c r="J10">
        <f>IF($A10="","",INDEX(Programs!$P$2:$P$83,MATCH($A10,Programs!$A$2:$A$83,0)))</f>
        <v/>
      </c>
      <c r="K10" s="7" t="n"/>
      <c r="L10" s="7" t="n"/>
      <c r="M10" s="7" t="n"/>
      <c r="N10" s="7" t="n"/>
      <c r="O10" s="7" t="n"/>
    </row>
    <row r="11">
      <c r="A11" s="7" t="n"/>
      <c r="B11">
        <f>IF($A11="","",INDEX(Programs!$C$2:$C$83,MATCH($A11,Programs!$A$2:$A$83,0)))</f>
        <v/>
      </c>
      <c r="C11" s="8">
        <f>IF($A11="","",INDEX(Programs!$E$2:$E$83,MATCH($A11,Programs!$A$2:$A$83,0)))</f>
        <v/>
      </c>
      <c r="D11">
        <f>IF(ISNUMBER(C11),C11-TODAY(),"")</f>
        <v/>
      </c>
      <c r="E11">
        <f>IF($A11="","",INDEX(Programs!$G$2:$G$83,MATCH($A11,Programs!$A$2:$A$83,0)))</f>
        <v/>
      </c>
      <c r="F11">
        <f>IF($A11="","",INDEX(Programs!$H$2:$H$83,MATCH($A11,Programs!$A$2:$A$83,0)))</f>
        <v/>
      </c>
      <c r="G11">
        <f>IF($A11="","",INDEX(Programs!$I$2:$I$83,MATCH($A11,Programs!$A$2:$A$83,0)))</f>
        <v/>
      </c>
      <c r="H11">
        <f>IF($A11="","",INDEX(Programs!$L$2:$L$83,MATCH($A11,Programs!$A$2:$A$83,0)))</f>
        <v/>
      </c>
      <c r="I11">
        <f>IF($A11="","",INDEX(Programs!$N$2:$N$83,MATCH($A11,Programs!$A$2:$A$83,0)))</f>
        <v/>
      </c>
      <c r="J11">
        <f>IF($A11="","",INDEX(Programs!$P$2:$P$83,MATCH($A11,Programs!$A$2:$A$83,0)))</f>
        <v/>
      </c>
      <c r="K11" s="7" t="n"/>
      <c r="L11" s="7" t="n"/>
      <c r="M11" s="7" t="n"/>
      <c r="N11" s="7" t="n"/>
      <c r="O11" s="7" t="n"/>
    </row>
    <row r="12">
      <c r="A12" s="7" t="n"/>
      <c r="B12">
        <f>IF($A12="","",INDEX(Programs!$C$2:$C$83,MATCH($A12,Programs!$A$2:$A$83,0)))</f>
        <v/>
      </c>
      <c r="C12" s="8">
        <f>IF($A12="","",INDEX(Programs!$E$2:$E$83,MATCH($A12,Programs!$A$2:$A$83,0)))</f>
        <v/>
      </c>
      <c r="D12">
        <f>IF(ISNUMBER(C12),C12-TODAY(),"")</f>
        <v/>
      </c>
      <c r="E12">
        <f>IF($A12="","",INDEX(Programs!$G$2:$G$83,MATCH($A12,Programs!$A$2:$A$83,0)))</f>
        <v/>
      </c>
      <c r="F12">
        <f>IF($A12="","",INDEX(Programs!$H$2:$H$83,MATCH($A12,Programs!$A$2:$A$83,0)))</f>
        <v/>
      </c>
      <c r="G12">
        <f>IF($A12="","",INDEX(Programs!$I$2:$I$83,MATCH($A12,Programs!$A$2:$A$83,0)))</f>
        <v/>
      </c>
      <c r="H12">
        <f>IF($A12="","",INDEX(Programs!$L$2:$L$83,MATCH($A12,Programs!$A$2:$A$83,0)))</f>
        <v/>
      </c>
      <c r="I12">
        <f>IF($A12="","",INDEX(Programs!$N$2:$N$83,MATCH($A12,Programs!$A$2:$A$83,0)))</f>
        <v/>
      </c>
      <c r="J12">
        <f>IF($A12="","",INDEX(Programs!$P$2:$P$83,MATCH($A12,Programs!$A$2:$A$83,0)))</f>
        <v/>
      </c>
      <c r="K12" s="7" t="n"/>
      <c r="L12" s="7" t="n"/>
      <c r="M12" s="7" t="n"/>
      <c r="N12" s="7" t="n"/>
      <c r="O12" s="7" t="n"/>
    </row>
    <row r="13">
      <c r="A13" s="7" t="n"/>
      <c r="B13">
        <f>IF($A13="","",INDEX(Programs!$C$2:$C$83,MATCH($A13,Programs!$A$2:$A$83,0)))</f>
        <v/>
      </c>
      <c r="C13" s="8">
        <f>IF($A13="","",INDEX(Programs!$E$2:$E$83,MATCH($A13,Programs!$A$2:$A$83,0)))</f>
        <v/>
      </c>
      <c r="D13">
        <f>IF(ISNUMBER(C13),C13-TODAY(),"")</f>
        <v/>
      </c>
      <c r="E13">
        <f>IF($A13="","",INDEX(Programs!$G$2:$G$83,MATCH($A13,Programs!$A$2:$A$83,0)))</f>
        <v/>
      </c>
      <c r="F13">
        <f>IF($A13="","",INDEX(Programs!$H$2:$H$83,MATCH($A13,Programs!$A$2:$A$83,0)))</f>
        <v/>
      </c>
      <c r="G13">
        <f>IF($A13="","",INDEX(Programs!$I$2:$I$83,MATCH($A13,Programs!$A$2:$A$83,0)))</f>
        <v/>
      </c>
      <c r="H13">
        <f>IF($A13="","",INDEX(Programs!$L$2:$L$83,MATCH($A13,Programs!$A$2:$A$83,0)))</f>
        <v/>
      </c>
      <c r="I13">
        <f>IF($A13="","",INDEX(Programs!$N$2:$N$83,MATCH($A13,Programs!$A$2:$A$83,0)))</f>
        <v/>
      </c>
      <c r="J13">
        <f>IF($A13="","",INDEX(Programs!$P$2:$P$83,MATCH($A13,Programs!$A$2:$A$83,0)))</f>
        <v/>
      </c>
      <c r="K13" s="7" t="n"/>
      <c r="L13" s="7" t="n"/>
      <c r="M13" s="7" t="n"/>
      <c r="N13" s="7" t="n"/>
      <c r="O13" s="7" t="n"/>
    </row>
    <row r="14">
      <c r="A14" s="7" t="n"/>
      <c r="B14">
        <f>IF($A14="","",INDEX(Programs!$C$2:$C$83,MATCH($A14,Programs!$A$2:$A$83,0)))</f>
        <v/>
      </c>
      <c r="C14" s="8">
        <f>IF($A14="","",INDEX(Programs!$E$2:$E$83,MATCH($A14,Programs!$A$2:$A$83,0)))</f>
        <v/>
      </c>
      <c r="D14">
        <f>IF(ISNUMBER(C14),C14-TODAY(),"")</f>
        <v/>
      </c>
      <c r="E14">
        <f>IF($A14="","",INDEX(Programs!$G$2:$G$83,MATCH($A14,Programs!$A$2:$A$83,0)))</f>
        <v/>
      </c>
      <c r="F14">
        <f>IF($A14="","",INDEX(Programs!$H$2:$H$83,MATCH($A14,Programs!$A$2:$A$83,0)))</f>
        <v/>
      </c>
      <c r="G14">
        <f>IF($A14="","",INDEX(Programs!$I$2:$I$83,MATCH($A14,Programs!$A$2:$A$83,0)))</f>
        <v/>
      </c>
      <c r="H14">
        <f>IF($A14="","",INDEX(Programs!$L$2:$L$83,MATCH($A14,Programs!$A$2:$A$83,0)))</f>
        <v/>
      </c>
      <c r="I14">
        <f>IF($A14="","",INDEX(Programs!$N$2:$N$83,MATCH($A14,Programs!$A$2:$A$83,0)))</f>
        <v/>
      </c>
      <c r="J14">
        <f>IF($A14="","",INDEX(Programs!$P$2:$P$83,MATCH($A14,Programs!$A$2:$A$83,0)))</f>
        <v/>
      </c>
      <c r="K14" s="7" t="n"/>
      <c r="L14" s="7" t="n"/>
      <c r="M14" s="7" t="n"/>
      <c r="N14" s="7" t="n"/>
      <c r="O14" s="7" t="n"/>
    </row>
    <row r="15">
      <c r="A15" s="7" t="n"/>
      <c r="B15">
        <f>IF($A15="","",INDEX(Programs!$C$2:$C$83,MATCH($A15,Programs!$A$2:$A$83,0)))</f>
        <v/>
      </c>
      <c r="C15" s="8">
        <f>IF($A15="","",INDEX(Programs!$E$2:$E$83,MATCH($A15,Programs!$A$2:$A$83,0)))</f>
        <v/>
      </c>
      <c r="D15">
        <f>IF(ISNUMBER(C15),C15-TODAY(),"")</f>
        <v/>
      </c>
      <c r="E15">
        <f>IF($A15="","",INDEX(Programs!$G$2:$G$83,MATCH($A15,Programs!$A$2:$A$83,0)))</f>
        <v/>
      </c>
      <c r="F15">
        <f>IF($A15="","",INDEX(Programs!$H$2:$H$83,MATCH($A15,Programs!$A$2:$A$83,0)))</f>
        <v/>
      </c>
      <c r="G15">
        <f>IF($A15="","",INDEX(Programs!$I$2:$I$83,MATCH($A15,Programs!$A$2:$A$83,0)))</f>
        <v/>
      </c>
      <c r="H15">
        <f>IF($A15="","",INDEX(Programs!$L$2:$L$83,MATCH($A15,Programs!$A$2:$A$83,0)))</f>
        <v/>
      </c>
      <c r="I15">
        <f>IF($A15="","",INDEX(Programs!$N$2:$N$83,MATCH($A15,Programs!$A$2:$A$83,0)))</f>
        <v/>
      </c>
      <c r="J15">
        <f>IF($A15="","",INDEX(Programs!$P$2:$P$83,MATCH($A15,Programs!$A$2:$A$83,0)))</f>
        <v/>
      </c>
      <c r="K15" s="7" t="n"/>
      <c r="L15" s="7" t="n"/>
      <c r="M15" s="7" t="n"/>
      <c r="N15" s="7" t="n"/>
      <c r="O15" s="7" t="n"/>
    </row>
    <row r="16">
      <c r="A16" s="7" t="n"/>
      <c r="B16">
        <f>IF($A16="","",INDEX(Programs!$C$2:$C$83,MATCH($A16,Programs!$A$2:$A$83,0)))</f>
        <v/>
      </c>
      <c r="C16" s="8">
        <f>IF($A16="","",INDEX(Programs!$E$2:$E$83,MATCH($A16,Programs!$A$2:$A$83,0)))</f>
        <v/>
      </c>
      <c r="D16">
        <f>IF(ISNUMBER(C16),C16-TODAY(),"")</f>
        <v/>
      </c>
      <c r="E16">
        <f>IF($A16="","",INDEX(Programs!$G$2:$G$83,MATCH($A16,Programs!$A$2:$A$83,0)))</f>
        <v/>
      </c>
      <c r="F16">
        <f>IF($A16="","",INDEX(Programs!$H$2:$H$83,MATCH($A16,Programs!$A$2:$A$83,0)))</f>
        <v/>
      </c>
      <c r="G16">
        <f>IF($A16="","",INDEX(Programs!$I$2:$I$83,MATCH($A16,Programs!$A$2:$A$83,0)))</f>
        <v/>
      </c>
      <c r="H16">
        <f>IF($A16="","",INDEX(Programs!$L$2:$L$83,MATCH($A16,Programs!$A$2:$A$83,0)))</f>
        <v/>
      </c>
      <c r="I16">
        <f>IF($A16="","",INDEX(Programs!$N$2:$N$83,MATCH($A16,Programs!$A$2:$A$83,0)))</f>
        <v/>
      </c>
      <c r="J16">
        <f>IF($A16="","",INDEX(Programs!$P$2:$P$83,MATCH($A16,Programs!$A$2:$A$83,0)))</f>
        <v/>
      </c>
      <c r="K16" s="7" t="n"/>
      <c r="L16" s="7" t="n"/>
      <c r="M16" s="7" t="n"/>
      <c r="N16" s="7" t="n"/>
      <c r="O16" s="7" t="n"/>
    </row>
    <row r="17">
      <c r="A17" s="7" t="n"/>
      <c r="B17">
        <f>IF($A17="","",INDEX(Programs!$C$2:$C$83,MATCH($A17,Programs!$A$2:$A$83,0)))</f>
        <v/>
      </c>
      <c r="C17" s="8">
        <f>IF($A17="","",INDEX(Programs!$E$2:$E$83,MATCH($A17,Programs!$A$2:$A$83,0)))</f>
        <v/>
      </c>
      <c r="D17">
        <f>IF(ISNUMBER(C17),C17-TODAY(),"")</f>
        <v/>
      </c>
      <c r="E17">
        <f>IF($A17="","",INDEX(Programs!$G$2:$G$83,MATCH($A17,Programs!$A$2:$A$83,0)))</f>
        <v/>
      </c>
      <c r="F17">
        <f>IF($A17="","",INDEX(Programs!$H$2:$H$83,MATCH($A17,Programs!$A$2:$A$83,0)))</f>
        <v/>
      </c>
      <c r="G17">
        <f>IF($A17="","",INDEX(Programs!$I$2:$I$83,MATCH($A17,Programs!$A$2:$A$83,0)))</f>
        <v/>
      </c>
      <c r="H17">
        <f>IF($A17="","",INDEX(Programs!$L$2:$L$83,MATCH($A17,Programs!$A$2:$A$83,0)))</f>
        <v/>
      </c>
      <c r="I17">
        <f>IF($A17="","",INDEX(Programs!$N$2:$N$83,MATCH($A17,Programs!$A$2:$A$83,0)))</f>
        <v/>
      </c>
      <c r="J17">
        <f>IF($A17="","",INDEX(Programs!$P$2:$P$83,MATCH($A17,Programs!$A$2:$A$83,0)))</f>
        <v/>
      </c>
      <c r="K17" s="7" t="n"/>
      <c r="L17" s="7" t="n"/>
      <c r="M17" s="7" t="n"/>
      <c r="N17" s="7" t="n"/>
      <c r="O17" s="7" t="n"/>
    </row>
    <row r="18">
      <c r="A18" s="7" t="n"/>
      <c r="B18">
        <f>IF($A18="","",INDEX(Programs!$C$2:$C$83,MATCH($A18,Programs!$A$2:$A$83,0)))</f>
        <v/>
      </c>
      <c r="C18" s="8">
        <f>IF($A18="","",INDEX(Programs!$E$2:$E$83,MATCH($A18,Programs!$A$2:$A$83,0)))</f>
        <v/>
      </c>
      <c r="D18">
        <f>IF(ISNUMBER(C18),C18-TODAY(),"")</f>
        <v/>
      </c>
      <c r="E18">
        <f>IF($A18="","",INDEX(Programs!$G$2:$G$83,MATCH($A18,Programs!$A$2:$A$83,0)))</f>
        <v/>
      </c>
      <c r="F18">
        <f>IF($A18="","",INDEX(Programs!$H$2:$H$83,MATCH($A18,Programs!$A$2:$A$83,0)))</f>
        <v/>
      </c>
      <c r="G18">
        <f>IF($A18="","",INDEX(Programs!$I$2:$I$83,MATCH($A18,Programs!$A$2:$A$83,0)))</f>
        <v/>
      </c>
      <c r="H18">
        <f>IF($A18="","",INDEX(Programs!$L$2:$L$83,MATCH($A18,Programs!$A$2:$A$83,0)))</f>
        <v/>
      </c>
      <c r="I18">
        <f>IF($A18="","",INDEX(Programs!$N$2:$N$83,MATCH($A18,Programs!$A$2:$A$83,0)))</f>
        <v/>
      </c>
      <c r="J18">
        <f>IF($A18="","",INDEX(Programs!$P$2:$P$83,MATCH($A18,Programs!$A$2:$A$83,0)))</f>
        <v/>
      </c>
      <c r="K18" s="7" t="n"/>
      <c r="L18" s="7" t="n"/>
      <c r="M18" s="7" t="n"/>
      <c r="N18" s="7" t="n"/>
      <c r="O18" s="7" t="n"/>
    </row>
    <row r="19">
      <c r="A19" s="7" t="n"/>
      <c r="B19">
        <f>IF($A19="","",INDEX(Programs!$C$2:$C$83,MATCH($A19,Programs!$A$2:$A$83,0)))</f>
        <v/>
      </c>
      <c r="C19" s="8">
        <f>IF($A19="","",INDEX(Programs!$E$2:$E$83,MATCH($A19,Programs!$A$2:$A$83,0)))</f>
        <v/>
      </c>
      <c r="D19">
        <f>IF(ISNUMBER(C19),C19-TODAY(),"")</f>
        <v/>
      </c>
      <c r="E19">
        <f>IF($A19="","",INDEX(Programs!$G$2:$G$83,MATCH($A19,Programs!$A$2:$A$83,0)))</f>
        <v/>
      </c>
      <c r="F19">
        <f>IF($A19="","",INDEX(Programs!$H$2:$H$83,MATCH($A19,Programs!$A$2:$A$83,0)))</f>
        <v/>
      </c>
      <c r="G19">
        <f>IF($A19="","",INDEX(Programs!$I$2:$I$83,MATCH($A19,Programs!$A$2:$A$83,0)))</f>
        <v/>
      </c>
      <c r="H19">
        <f>IF($A19="","",INDEX(Programs!$L$2:$L$83,MATCH($A19,Programs!$A$2:$A$83,0)))</f>
        <v/>
      </c>
      <c r="I19">
        <f>IF($A19="","",INDEX(Programs!$N$2:$N$83,MATCH($A19,Programs!$A$2:$A$83,0)))</f>
        <v/>
      </c>
      <c r="J19">
        <f>IF($A19="","",INDEX(Programs!$P$2:$P$83,MATCH($A19,Programs!$A$2:$A$83,0)))</f>
        <v/>
      </c>
      <c r="K19" s="7" t="n"/>
      <c r="L19" s="7" t="n"/>
      <c r="M19" s="7" t="n"/>
      <c r="N19" s="7" t="n"/>
      <c r="O19" s="7" t="n"/>
    </row>
    <row r="20">
      <c r="A20" s="7" t="n"/>
      <c r="B20">
        <f>IF($A20="","",INDEX(Programs!$C$2:$C$83,MATCH($A20,Programs!$A$2:$A$83,0)))</f>
        <v/>
      </c>
      <c r="C20" s="8">
        <f>IF($A20="","",INDEX(Programs!$E$2:$E$83,MATCH($A20,Programs!$A$2:$A$83,0)))</f>
        <v/>
      </c>
      <c r="D20">
        <f>IF(ISNUMBER(C20),C20-TODAY(),"")</f>
        <v/>
      </c>
      <c r="E20">
        <f>IF($A20="","",INDEX(Programs!$G$2:$G$83,MATCH($A20,Programs!$A$2:$A$83,0)))</f>
        <v/>
      </c>
      <c r="F20">
        <f>IF($A20="","",INDEX(Programs!$H$2:$H$83,MATCH($A20,Programs!$A$2:$A$83,0)))</f>
        <v/>
      </c>
      <c r="G20">
        <f>IF($A20="","",INDEX(Programs!$I$2:$I$83,MATCH($A20,Programs!$A$2:$A$83,0)))</f>
        <v/>
      </c>
      <c r="H20">
        <f>IF($A20="","",INDEX(Programs!$L$2:$L$83,MATCH($A20,Programs!$A$2:$A$83,0)))</f>
        <v/>
      </c>
      <c r="I20">
        <f>IF($A20="","",INDEX(Programs!$N$2:$N$83,MATCH($A20,Programs!$A$2:$A$83,0)))</f>
        <v/>
      </c>
      <c r="J20">
        <f>IF($A20="","",INDEX(Programs!$P$2:$P$83,MATCH($A20,Programs!$A$2:$A$83,0)))</f>
        <v/>
      </c>
      <c r="K20" s="7" t="n"/>
      <c r="L20" s="7" t="n"/>
      <c r="M20" s="7" t="n"/>
      <c r="N20" s="7" t="n"/>
      <c r="O20" s="7" t="n"/>
    </row>
    <row r="21">
      <c r="A21" s="7" t="n"/>
      <c r="B21">
        <f>IF($A21="","",INDEX(Programs!$C$2:$C$83,MATCH($A21,Programs!$A$2:$A$83,0)))</f>
        <v/>
      </c>
      <c r="C21" s="8">
        <f>IF($A21="","",INDEX(Programs!$E$2:$E$83,MATCH($A21,Programs!$A$2:$A$83,0)))</f>
        <v/>
      </c>
      <c r="D21">
        <f>IF(ISNUMBER(C21),C21-TODAY(),"")</f>
        <v/>
      </c>
      <c r="E21">
        <f>IF($A21="","",INDEX(Programs!$G$2:$G$83,MATCH($A21,Programs!$A$2:$A$83,0)))</f>
        <v/>
      </c>
      <c r="F21">
        <f>IF($A21="","",INDEX(Programs!$H$2:$H$83,MATCH($A21,Programs!$A$2:$A$83,0)))</f>
        <v/>
      </c>
      <c r="G21">
        <f>IF($A21="","",INDEX(Programs!$I$2:$I$83,MATCH($A21,Programs!$A$2:$A$83,0)))</f>
        <v/>
      </c>
      <c r="H21">
        <f>IF($A21="","",INDEX(Programs!$L$2:$L$83,MATCH($A21,Programs!$A$2:$A$83,0)))</f>
        <v/>
      </c>
      <c r="I21">
        <f>IF($A21="","",INDEX(Programs!$N$2:$N$83,MATCH($A21,Programs!$A$2:$A$83,0)))</f>
        <v/>
      </c>
      <c r="J21">
        <f>IF($A21="","",INDEX(Programs!$P$2:$P$83,MATCH($A21,Programs!$A$2:$A$83,0)))</f>
        <v/>
      </c>
      <c r="K21" s="7" t="n"/>
      <c r="L21" s="7" t="n"/>
      <c r="M21" s="7" t="n"/>
      <c r="N21" s="7" t="n"/>
      <c r="O21" s="7" t="n"/>
    </row>
    <row r="22">
      <c r="A22" s="7" t="n"/>
      <c r="B22">
        <f>IF($A22="","",INDEX(Programs!$C$2:$C$83,MATCH($A22,Programs!$A$2:$A$83,0)))</f>
        <v/>
      </c>
      <c r="C22" s="8">
        <f>IF($A22="","",INDEX(Programs!$E$2:$E$83,MATCH($A22,Programs!$A$2:$A$83,0)))</f>
        <v/>
      </c>
      <c r="D22">
        <f>IF(ISNUMBER(C22),C22-TODAY(),"")</f>
        <v/>
      </c>
      <c r="E22">
        <f>IF($A22="","",INDEX(Programs!$G$2:$G$83,MATCH($A22,Programs!$A$2:$A$83,0)))</f>
        <v/>
      </c>
      <c r="F22">
        <f>IF($A22="","",INDEX(Programs!$H$2:$H$83,MATCH($A22,Programs!$A$2:$A$83,0)))</f>
        <v/>
      </c>
      <c r="G22">
        <f>IF($A22="","",INDEX(Programs!$I$2:$I$83,MATCH($A22,Programs!$A$2:$A$83,0)))</f>
        <v/>
      </c>
      <c r="H22">
        <f>IF($A22="","",INDEX(Programs!$L$2:$L$83,MATCH($A22,Programs!$A$2:$A$83,0)))</f>
        <v/>
      </c>
      <c r="I22">
        <f>IF($A22="","",INDEX(Programs!$N$2:$N$83,MATCH($A22,Programs!$A$2:$A$83,0)))</f>
        <v/>
      </c>
      <c r="J22">
        <f>IF($A22="","",INDEX(Programs!$P$2:$P$83,MATCH($A22,Programs!$A$2:$A$83,0)))</f>
        <v/>
      </c>
      <c r="K22" s="7" t="n"/>
      <c r="L22" s="7" t="n"/>
      <c r="M22" s="7" t="n"/>
      <c r="N22" s="7" t="n"/>
      <c r="O22" s="7" t="n"/>
    </row>
    <row r="23">
      <c r="A23" s="7" t="n"/>
      <c r="B23">
        <f>IF($A23="","",INDEX(Programs!$C$2:$C$83,MATCH($A23,Programs!$A$2:$A$83,0)))</f>
        <v/>
      </c>
      <c r="C23" s="8">
        <f>IF($A23="","",INDEX(Programs!$E$2:$E$83,MATCH($A23,Programs!$A$2:$A$83,0)))</f>
        <v/>
      </c>
      <c r="D23">
        <f>IF(ISNUMBER(C23),C23-TODAY(),"")</f>
        <v/>
      </c>
      <c r="E23">
        <f>IF($A23="","",INDEX(Programs!$G$2:$G$83,MATCH($A23,Programs!$A$2:$A$83,0)))</f>
        <v/>
      </c>
      <c r="F23">
        <f>IF($A23="","",INDEX(Programs!$H$2:$H$83,MATCH($A23,Programs!$A$2:$A$83,0)))</f>
        <v/>
      </c>
      <c r="G23">
        <f>IF($A23="","",INDEX(Programs!$I$2:$I$83,MATCH($A23,Programs!$A$2:$A$83,0)))</f>
        <v/>
      </c>
      <c r="H23">
        <f>IF($A23="","",INDEX(Programs!$L$2:$L$83,MATCH($A23,Programs!$A$2:$A$83,0)))</f>
        <v/>
      </c>
      <c r="I23">
        <f>IF($A23="","",INDEX(Programs!$N$2:$N$83,MATCH($A23,Programs!$A$2:$A$83,0)))</f>
        <v/>
      </c>
      <c r="J23">
        <f>IF($A23="","",INDEX(Programs!$P$2:$P$83,MATCH($A23,Programs!$A$2:$A$83,0)))</f>
        <v/>
      </c>
      <c r="K23" s="7" t="n"/>
      <c r="L23" s="7" t="n"/>
      <c r="M23" s="7" t="n"/>
      <c r="N23" s="7" t="n"/>
      <c r="O23" s="7" t="n"/>
    </row>
    <row r="24">
      <c r="A24" s="7" t="n"/>
      <c r="B24">
        <f>IF($A24="","",INDEX(Programs!$C$2:$C$83,MATCH($A24,Programs!$A$2:$A$83,0)))</f>
        <v/>
      </c>
      <c r="C24" s="8">
        <f>IF($A24="","",INDEX(Programs!$E$2:$E$83,MATCH($A24,Programs!$A$2:$A$83,0)))</f>
        <v/>
      </c>
      <c r="D24">
        <f>IF(ISNUMBER(C24),C24-TODAY(),"")</f>
        <v/>
      </c>
      <c r="E24">
        <f>IF($A24="","",INDEX(Programs!$G$2:$G$83,MATCH($A24,Programs!$A$2:$A$83,0)))</f>
        <v/>
      </c>
      <c r="F24">
        <f>IF($A24="","",INDEX(Programs!$H$2:$H$83,MATCH($A24,Programs!$A$2:$A$83,0)))</f>
        <v/>
      </c>
      <c r="G24">
        <f>IF($A24="","",INDEX(Programs!$I$2:$I$83,MATCH($A24,Programs!$A$2:$A$83,0)))</f>
        <v/>
      </c>
      <c r="H24">
        <f>IF($A24="","",INDEX(Programs!$L$2:$L$83,MATCH($A24,Programs!$A$2:$A$83,0)))</f>
        <v/>
      </c>
      <c r="I24">
        <f>IF($A24="","",INDEX(Programs!$N$2:$N$83,MATCH($A24,Programs!$A$2:$A$83,0)))</f>
        <v/>
      </c>
      <c r="J24">
        <f>IF($A24="","",INDEX(Programs!$P$2:$P$83,MATCH($A24,Programs!$A$2:$A$83,0)))</f>
        <v/>
      </c>
      <c r="K24" s="7" t="n"/>
      <c r="L24" s="7" t="n"/>
      <c r="M24" s="7" t="n"/>
      <c r="N24" s="7" t="n"/>
      <c r="O24" s="7" t="n"/>
    </row>
    <row r="25">
      <c r="A25" s="7" t="n"/>
      <c r="B25">
        <f>IF($A25="","",INDEX(Programs!$C$2:$C$83,MATCH($A25,Programs!$A$2:$A$83,0)))</f>
        <v/>
      </c>
      <c r="C25" s="8">
        <f>IF($A25="","",INDEX(Programs!$E$2:$E$83,MATCH($A25,Programs!$A$2:$A$83,0)))</f>
        <v/>
      </c>
      <c r="D25">
        <f>IF(ISNUMBER(C25),C25-TODAY(),"")</f>
        <v/>
      </c>
      <c r="E25">
        <f>IF($A25="","",INDEX(Programs!$G$2:$G$83,MATCH($A25,Programs!$A$2:$A$83,0)))</f>
        <v/>
      </c>
      <c r="F25">
        <f>IF($A25="","",INDEX(Programs!$H$2:$H$83,MATCH($A25,Programs!$A$2:$A$83,0)))</f>
        <v/>
      </c>
      <c r="G25">
        <f>IF($A25="","",INDEX(Programs!$I$2:$I$83,MATCH($A25,Programs!$A$2:$A$83,0)))</f>
        <v/>
      </c>
      <c r="H25">
        <f>IF($A25="","",INDEX(Programs!$L$2:$L$83,MATCH($A25,Programs!$A$2:$A$83,0)))</f>
        <v/>
      </c>
      <c r="I25">
        <f>IF($A25="","",INDEX(Programs!$N$2:$N$83,MATCH($A25,Programs!$A$2:$A$83,0)))</f>
        <v/>
      </c>
      <c r="J25">
        <f>IF($A25="","",INDEX(Programs!$P$2:$P$83,MATCH($A25,Programs!$A$2:$A$83,0)))</f>
        <v/>
      </c>
      <c r="K25" s="7" t="n"/>
      <c r="L25" s="7" t="n"/>
      <c r="M25" s="7" t="n"/>
      <c r="N25" s="7" t="n"/>
      <c r="O25" s="7" t="n"/>
    </row>
    <row r="26">
      <c r="A26" s="7" t="n"/>
      <c r="B26">
        <f>IF($A26="","",INDEX(Programs!$C$2:$C$83,MATCH($A26,Programs!$A$2:$A$83,0)))</f>
        <v/>
      </c>
      <c r="C26" s="8">
        <f>IF($A26="","",INDEX(Programs!$E$2:$E$83,MATCH($A26,Programs!$A$2:$A$83,0)))</f>
        <v/>
      </c>
      <c r="D26">
        <f>IF(ISNUMBER(C26),C26-TODAY(),"")</f>
        <v/>
      </c>
      <c r="E26">
        <f>IF($A26="","",INDEX(Programs!$G$2:$G$83,MATCH($A26,Programs!$A$2:$A$83,0)))</f>
        <v/>
      </c>
      <c r="F26">
        <f>IF($A26="","",INDEX(Programs!$H$2:$H$83,MATCH($A26,Programs!$A$2:$A$83,0)))</f>
        <v/>
      </c>
      <c r="G26">
        <f>IF($A26="","",INDEX(Programs!$I$2:$I$83,MATCH($A26,Programs!$A$2:$A$83,0)))</f>
        <v/>
      </c>
      <c r="H26">
        <f>IF($A26="","",INDEX(Programs!$L$2:$L$83,MATCH($A26,Programs!$A$2:$A$83,0)))</f>
        <v/>
      </c>
      <c r="I26">
        <f>IF($A26="","",INDEX(Programs!$N$2:$N$83,MATCH($A26,Programs!$A$2:$A$83,0)))</f>
        <v/>
      </c>
      <c r="J26">
        <f>IF($A26="","",INDEX(Programs!$P$2:$P$83,MATCH($A26,Programs!$A$2:$A$83,0)))</f>
        <v/>
      </c>
      <c r="K26" s="7" t="n"/>
      <c r="L26" s="7" t="n"/>
      <c r="M26" s="7" t="n"/>
      <c r="N26" s="7" t="n"/>
      <c r="O26" s="7" t="n"/>
    </row>
    <row r="27">
      <c r="A27" s="7" t="n"/>
      <c r="B27">
        <f>IF($A27="","",INDEX(Programs!$C$2:$C$83,MATCH($A27,Programs!$A$2:$A$83,0)))</f>
        <v/>
      </c>
      <c r="C27" s="8">
        <f>IF($A27="","",INDEX(Programs!$E$2:$E$83,MATCH($A27,Programs!$A$2:$A$83,0)))</f>
        <v/>
      </c>
      <c r="D27">
        <f>IF(ISNUMBER(C27),C27-TODAY(),"")</f>
        <v/>
      </c>
      <c r="E27">
        <f>IF($A27="","",INDEX(Programs!$G$2:$G$83,MATCH($A27,Programs!$A$2:$A$83,0)))</f>
        <v/>
      </c>
      <c r="F27">
        <f>IF($A27="","",INDEX(Programs!$H$2:$H$83,MATCH($A27,Programs!$A$2:$A$83,0)))</f>
        <v/>
      </c>
      <c r="G27">
        <f>IF($A27="","",INDEX(Programs!$I$2:$I$83,MATCH($A27,Programs!$A$2:$A$83,0)))</f>
        <v/>
      </c>
      <c r="H27">
        <f>IF($A27="","",INDEX(Programs!$L$2:$L$83,MATCH($A27,Programs!$A$2:$A$83,0)))</f>
        <v/>
      </c>
      <c r="I27">
        <f>IF($A27="","",INDEX(Programs!$N$2:$N$83,MATCH($A27,Programs!$A$2:$A$83,0)))</f>
        <v/>
      </c>
      <c r="J27">
        <f>IF($A27="","",INDEX(Programs!$P$2:$P$83,MATCH($A27,Programs!$A$2:$A$83,0)))</f>
        <v/>
      </c>
      <c r="K27" s="7" t="n"/>
      <c r="L27" s="7" t="n"/>
      <c r="M27" s="7" t="n"/>
      <c r="N27" s="7" t="n"/>
      <c r="O27" s="7" t="n"/>
    </row>
    <row r="28">
      <c r="A28" s="7" t="n"/>
      <c r="B28">
        <f>IF($A28="","",INDEX(Programs!$C$2:$C$83,MATCH($A28,Programs!$A$2:$A$83,0)))</f>
        <v/>
      </c>
      <c r="C28" s="8">
        <f>IF($A28="","",INDEX(Programs!$E$2:$E$83,MATCH($A28,Programs!$A$2:$A$83,0)))</f>
        <v/>
      </c>
      <c r="D28">
        <f>IF(ISNUMBER(C28),C28-TODAY(),"")</f>
        <v/>
      </c>
      <c r="E28">
        <f>IF($A28="","",INDEX(Programs!$G$2:$G$83,MATCH($A28,Programs!$A$2:$A$83,0)))</f>
        <v/>
      </c>
      <c r="F28">
        <f>IF($A28="","",INDEX(Programs!$H$2:$H$83,MATCH($A28,Programs!$A$2:$A$83,0)))</f>
        <v/>
      </c>
      <c r="G28">
        <f>IF($A28="","",INDEX(Programs!$I$2:$I$83,MATCH($A28,Programs!$A$2:$A$83,0)))</f>
        <v/>
      </c>
      <c r="H28">
        <f>IF($A28="","",INDEX(Programs!$L$2:$L$83,MATCH($A28,Programs!$A$2:$A$83,0)))</f>
        <v/>
      </c>
      <c r="I28">
        <f>IF($A28="","",INDEX(Programs!$N$2:$N$83,MATCH($A28,Programs!$A$2:$A$83,0)))</f>
        <v/>
      </c>
      <c r="J28">
        <f>IF($A28="","",INDEX(Programs!$P$2:$P$83,MATCH($A28,Programs!$A$2:$A$83,0)))</f>
        <v/>
      </c>
      <c r="K28" s="7" t="n"/>
      <c r="L28" s="7" t="n"/>
      <c r="M28" s="7" t="n"/>
      <c r="N28" s="7" t="n"/>
      <c r="O28" s="7" t="n"/>
    </row>
    <row r="29">
      <c r="A29" s="7" t="n"/>
      <c r="B29">
        <f>IF($A29="","",INDEX(Programs!$C$2:$C$83,MATCH($A29,Programs!$A$2:$A$83,0)))</f>
        <v/>
      </c>
      <c r="C29" s="8">
        <f>IF($A29="","",INDEX(Programs!$E$2:$E$83,MATCH($A29,Programs!$A$2:$A$83,0)))</f>
        <v/>
      </c>
      <c r="D29">
        <f>IF(ISNUMBER(C29),C29-TODAY(),"")</f>
        <v/>
      </c>
      <c r="E29">
        <f>IF($A29="","",INDEX(Programs!$G$2:$G$83,MATCH($A29,Programs!$A$2:$A$83,0)))</f>
        <v/>
      </c>
      <c r="F29">
        <f>IF($A29="","",INDEX(Programs!$H$2:$H$83,MATCH($A29,Programs!$A$2:$A$83,0)))</f>
        <v/>
      </c>
      <c r="G29">
        <f>IF($A29="","",INDEX(Programs!$I$2:$I$83,MATCH($A29,Programs!$A$2:$A$83,0)))</f>
        <v/>
      </c>
      <c r="H29">
        <f>IF($A29="","",INDEX(Programs!$L$2:$L$83,MATCH($A29,Programs!$A$2:$A$83,0)))</f>
        <v/>
      </c>
      <c r="I29">
        <f>IF($A29="","",INDEX(Programs!$N$2:$N$83,MATCH($A29,Programs!$A$2:$A$83,0)))</f>
        <v/>
      </c>
      <c r="J29">
        <f>IF($A29="","",INDEX(Programs!$P$2:$P$83,MATCH($A29,Programs!$A$2:$A$83,0)))</f>
        <v/>
      </c>
      <c r="K29" s="7" t="n"/>
      <c r="L29" s="7" t="n"/>
      <c r="M29" s="7" t="n"/>
      <c r="N29" s="7" t="n"/>
      <c r="O29" s="7" t="n"/>
    </row>
    <row r="30">
      <c r="A30" s="7" t="n"/>
      <c r="B30">
        <f>IF($A30="","",INDEX(Programs!$C$2:$C$83,MATCH($A30,Programs!$A$2:$A$83,0)))</f>
        <v/>
      </c>
      <c r="C30" s="8">
        <f>IF($A30="","",INDEX(Programs!$E$2:$E$83,MATCH($A30,Programs!$A$2:$A$83,0)))</f>
        <v/>
      </c>
      <c r="D30">
        <f>IF(ISNUMBER(C30),C30-TODAY(),"")</f>
        <v/>
      </c>
      <c r="E30">
        <f>IF($A30="","",INDEX(Programs!$G$2:$G$83,MATCH($A30,Programs!$A$2:$A$83,0)))</f>
        <v/>
      </c>
      <c r="F30">
        <f>IF($A30="","",INDEX(Programs!$H$2:$H$83,MATCH($A30,Programs!$A$2:$A$83,0)))</f>
        <v/>
      </c>
      <c r="G30">
        <f>IF($A30="","",INDEX(Programs!$I$2:$I$83,MATCH($A30,Programs!$A$2:$A$83,0)))</f>
        <v/>
      </c>
      <c r="H30">
        <f>IF($A30="","",INDEX(Programs!$L$2:$L$83,MATCH($A30,Programs!$A$2:$A$83,0)))</f>
        <v/>
      </c>
      <c r="I30">
        <f>IF($A30="","",INDEX(Programs!$N$2:$N$83,MATCH($A30,Programs!$A$2:$A$83,0)))</f>
        <v/>
      </c>
      <c r="J30">
        <f>IF($A30="","",INDEX(Programs!$P$2:$P$83,MATCH($A30,Programs!$A$2:$A$83,0)))</f>
        <v/>
      </c>
      <c r="K30" s="7" t="n"/>
      <c r="L30" s="7" t="n"/>
      <c r="M30" s="7" t="n"/>
      <c r="N30" s="7" t="n"/>
      <c r="O30" s="7" t="n"/>
    </row>
    <row r="31">
      <c r="A31" s="7" t="n"/>
      <c r="B31">
        <f>IF($A31="","",INDEX(Programs!$C$2:$C$83,MATCH($A31,Programs!$A$2:$A$83,0)))</f>
        <v/>
      </c>
      <c r="C31" s="8">
        <f>IF($A31="","",INDEX(Programs!$E$2:$E$83,MATCH($A31,Programs!$A$2:$A$83,0)))</f>
        <v/>
      </c>
      <c r="D31">
        <f>IF(ISNUMBER(C31),C31-TODAY(),"")</f>
        <v/>
      </c>
      <c r="E31">
        <f>IF($A31="","",INDEX(Programs!$G$2:$G$83,MATCH($A31,Programs!$A$2:$A$83,0)))</f>
        <v/>
      </c>
      <c r="F31">
        <f>IF($A31="","",INDEX(Programs!$H$2:$H$83,MATCH($A31,Programs!$A$2:$A$83,0)))</f>
        <v/>
      </c>
      <c r="G31">
        <f>IF($A31="","",INDEX(Programs!$I$2:$I$83,MATCH($A31,Programs!$A$2:$A$83,0)))</f>
        <v/>
      </c>
      <c r="H31">
        <f>IF($A31="","",INDEX(Programs!$L$2:$L$83,MATCH($A31,Programs!$A$2:$A$83,0)))</f>
        <v/>
      </c>
      <c r="I31">
        <f>IF($A31="","",INDEX(Programs!$N$2:$N$83,MATCH($A31,Programs!$A$2:$A$83,0)))</f>
        <v/>
      </c>
      <c r="J31">
        <f>IF($A31="","",INDEX(Programs!$P$2:$P$83,MATCH($A31,Programs!$A$2:$A$83,0)))</f>
        <v/>
      </c>
      <c r="K31" s="7" t="n"/>
      <c r="L31" s="7" t="n"/>
      <c r="M31" s="7" t="n"/>
      <c r="N31" s="7" t="n"/>
      <c r="O31" s="7" t="n"/>
    </row>
  </sheetData>
  <dataValidations count="5">
    <dataValidation sqref="A2:A31" showDropDown="0" showInputMessage="0" showErrorMessage="0" allowBlank="1" type="list">
      <formula1>Programs!$A$2:$A$83</formula1>
    </dataValidation>
    <dataValidation sqref="K2:K31" showDropDown="0" showInputMessage="0" showErrorMessage="0" allowBlank="1" type="list">
      <formula1>"Researching,Emailed supervisor,Writing,Submitted,Interview,Offer,Declined,Accepted"</formula1>
    </dataValidation>
    <dataValidation sqref="L2:L31" showDropDown="0" showInputMessage="0" showErrorMessage="0" allowBlank="1" type="list">
      <formula1>"Yes,No"</formula1>
    </dataValidation>
    <dataValidation sqref="M2:M31" showDropDown="0" showInputMessage="0" showErrorMessage="0" allowBlank="1" type="list">
      <formula1>"0,1,2,3"</formula1>
    </dataValidation>
    <dataValidation sqref="N2:N31" showDropDown="0" showInputMessage="0" showErrorMessage="0" allowBlank="1" type="list">
      <formula1>"Not yet,Waiver requested,Waived,Paid"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58" customWidth="1" min="1" max="1"/>
    <col width="13" customWidth="1" min="2" max="2"/>
    <col width="13" customWidth="1" min="3" max="3"/>
    <col width="13" customWidth="1" min="4" max="4"/>
    <col width="13" customWidth="1" min="5" max="5"/>
    <col width="13" customWidth="1" min="6" max="6"/>
    <col width="40" customWidth="1" min="7" max="7"/>
  </cols>
  <sheetData>
    <row r="1">
      <c r="A1" s="9" t="inlineStr">
        <is>
          <t>Item</t>
        </is>
      </c>
      <c r="B1" s="9" t="inlineStr">
        <is>
          <t>USD</t>
        </is>
      </c>
      <c r="C1" s="9" t="inlineStr">
        <is>
          <t>CAD</t>
        </is>
      </c>
      <c r="D1" s="9" t="inlineStr">
        <is>
          <t>GBP</t>
        </is>
      </c>
      <c r="E1" s="9" t="inlineStr">
        <is>
          <t>EUR</t>
        </is>
      </c>
      <c r="F1" s="9" t="inlineStr">
        <is>
          <t>CHF</t>
        </is>
      </c>
      <c r="G1" s="9" t="inlineStr">
        <is>
          <t>Notes</t>
        </is>
      </c>
    </row>
    <row r="2">
      <c r="A2" t="inlineStr">
        <is>
          <t>Application fees on your shortlist (excludes rows marked Waived)</t>
        </is>
      </c>
      <c r="B2">
        <f>SUMIFS(Shortlist!$E$2:$E$31,Shortlist!$F$2:$F$31,"USD",Shortlist!$N$2:$N$31,"&lt;&gt;Waived")</f>
        <v/>
      </c>
      <c r="C2">
        <f>SUMIFS(Shortlist!$E$2:$E$31,Shortlist!$F$2:$F$31,"CAD",Shortlist!$N$2:$N$31,"&lt;&gt;Waived")</f>
        <v/>
      </c>
      <c r="D2">
        <f>SUMIFS(Shortlist!$E$2:$E$31,Shortlist!$F$2:$F$31,"GBP",Shortlist!$N$2:$N$31,"&lt;&gt;Waived")</f>
        <v/>
      </c>
      <c r="E2">
        <f>SUMIFS(Shortlist!$E$2:$E$31,Shortlist!$F$2:$F$31,"EUR",Shortlist!$N$2:$N$31,"&lt;&gt;Waived")</f>
        <v/>
      </c>
      <c r="F2">
        <f>SUMIFS(Shortlist!$E$2:$E$31,Shortlist!$F$2:$F$31,"CHF",Shortlist!$N$2:$N$31,"&lt;&gt;Waived")</f>
        <v/>
      </c>
      <c r="G2" t="inlineStr">
        <is>
          <t>Calculated</t>
        </is>
      </c>
    </row>
    <row r="3">
      <c r="A3" t="inlineStr">
        <is>
          <t>English test (booking + extra score reports)</t>
        </is>
      </c>
      <c r="B3" s="7" t="n"/>
      <c r="C3" s="7" t="n"/>
      <c r="D3" s="7" t="n"/>
      <c r="E3" s="7" t="n"/>
      <c r="F3" s="7" t="n"/>
      <c r="G3" t="inlineStr">
        <is>
          <t>Enter from the official test website</t>
        </is>
      </c>
    </row>
    <row r="4">
      <c r="A4" t="inlineStr">
        <is>
          <t>GRE / Physics GRE (booking + score reports)</t>
        </is>
      </c>
      <c r="B4" s="7" t="n"/>
      <c r="C4" s="7" t="n"/>
      <c r="D4" s="7" t="n"/>
      <c r="E4" s="7" t="n"/>
      <c r="F4" s="7" t="n"/>
      <c r="G4" t="inlineStr">
        <is>
          <t>Enter only if a program on your list needs it</t>
        </is>
      </c>
    </row>
    <row r="5">
      <c r="A5" t="inlineStr">
        <is>
          <t>Transcripts, credential evaluation, courier</t>
        </is>
      </c>
      <c r="B5" s="7" t="n"/>
      <c r="C5" s="7" t="n"/>
      <c r="D5" s="7" t="n"/>
      <c r="E5" s="7" t="n"/>
      <c r="F5" s="7" t="n"/>
      <c r="G5" t="inlineStr">
        <is>
          <t>Enter from your university / evaluator</t>
        </is>
      </c>
    </row>
    <row r="6">
      <c r="A6" t="inlineStr">
        <is>
          <t>Other</t>
        </is>
      </c>
      <c r="B6" s="7" t="n"/>
      <c r="C6" s="7" t="n"/>
      <c r="D6" s="7" t="n"/>
      <c r="E6" s="7" t="n"/>
      <c r="F6" s="7" t="n"/>
      <c r="G6" t="inlineStr"/>
    </row>
    <row r="7">
      <c r="A7" s="10" t="inlineStr">
        <is>
          <t>Total</t>
        </is>
      </c>
      <c r="B7">
        <f>SUM(B2:B6)</f>
        <v/>
      </c>
      <c r="C7">
        <f>SUM(C2:C6)</f>
        <v/>
      </c>
      <c r="D7">
        <f>SUM(D2:D6)</f>
        <v/>
      </c>
      <c r="E7">
        <f>SUM(E2:E6)</f>
        <v/>
      </c>
      <c r="F7">
        <f>SUM(F2:F6)</f>
        <v/>
      </c>
      <c r="G7" t="inlineStr"/>
    </row>
    <row r="9">
      <c r="A9" t="inlineStr">
        <is>
          <t>Rupees per 1 unit (Bank of Canada, 2026-10-21): edit to today's rate, or your own currency</t>
        </is>
      </c>
      <c r="B9" s="7" t="n">
        <v>94.47</v>
      </c>
      <c r="C9" s="7" t="n">
        <v>67.2</v>
      </c>
      <c r="D9" s="7" t="n">
        <v>126.52</v>
      </c>
      <c r="E9" s="7" t="n">
        <v>106.08</v>
      </c>
      <c r="F9" s="7" t="n">
        <v>114.56</v>
      </c>
      <c r="G9" t="inlineStr">
        <is>
          <t>Pre-filled; banks and cards add a margin</t>
        </is>
      </c>
    </row>
    <row r="10">
      <c r="A10" s="10" t="inlineStr">
        <is>
          <t>Total in rupees (approximate)</t>
        </is>
      </c>
      <c r="B10" s="11">
        <f>IF(B9="",0,B7*B9)+IF(C9="",0,C7*C9)+IF(D9="",0,D7*D9)+IF(E9="",0,E7*E9)+IF(F9="",0,F7*F9)</f>
        <v/>
      </c>
      <c r="G10" t="inlineStr">
        <is>
          <t>Currencies without a rate are left out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8" customWidth="1" min="2" max="2"/>
    <col width="18" customWidth="1" min="3" max="3"/>
    <col width="12" customWidth="1" min="4" max="4"/>
    <col width="11" customWidth="1" min="5" max="5"/>
    <col width="36" customWidth="1" min="6" max="6"/>
    <col width="16" customWidth="1" min="7" max="7"/>
    <col width="12" customWidth="1" min="8" max="8"/>
  </cols>
  <sheetData>
    <row r="1">
      <c r="A1" s="3" t="inlineStr">
        <is>
          <t>Recommender</t>
        </is>
      </c>
      <c r="B1" s="3" t="inlineStr">
        <is>
          <t>Email</t>
        </is>
      </c>
      <c r="C1" s="3" t="inlineStr">
        <is>
          <t>Relationship</t>
        </is>
      </c>
      <c r="D1" s="3" t="inlineStr">
        <is>
          <t>Asked on</t>
        </is>
      </c>
      <c r="E1" s="3" t="inlineStr">
        <is>
          <t>Packet sent</t>
        </is>
      </c>
      <c r="F1" s="3" t="inlineStr">
        <is>
          <t>Programs invited</t>
        </is>
      </c>
      <c r="G1" s="3" t="inlineStr">
        <is>
          <t>Status</t>
        </is>
      </c>
      <c r="H1" s="3" t="inlineStr">
        <is>
          <t>Follow up by</t>
        </is>
      </c>
    </row>
    <row r="2">
      <c r="A2" s="7" t="n"/>
      <c r="B2" s="7" t="n"/>
      <c r="C2" s="7" t="n"/>
      <c r="D2" s="12" t="n"/>
      <c r="E2" s="7" t="n"/>
      <c r="F2" s="7" t="n"/>
      <c r="G2" s="7" t="n"/>
      <c r="H2" s="8">
        <f>IF(D2="","",D2+14)</f>
        <v/>
      </c>
    </row>
    <row r="3">
      <c r="A3" s="7" t="n"/>
      <c r="B3" s="7" t="n"/>
      <c r="C3" s="7" t="n"/>
      <c r="D3" s="12" t="n"/>
      <c r="E3" s="7" t="n"/>
      <c r="F3" s="7" t="n"/>
      <c r="G3" s="7" t="n"/>
      <c r="H3" s="8">
        <f>IF(D3="","",D3+14)</f>
        <v/>
      </c>
    </row>
    <row r="4">
      <c r="A4" s="7" t="n"/>
      <c r="B4" s="7" t="n"/>
      <c r="C4" s="7" t="n"/>
      <c r="D4" s="12" t="n"/>
      <c r="E4" s="7" t="n"/>
      <c r="F4" s="7" t="n"/>
      <c r="G4" s="7" t="n"/>
      <c r="H4" s="8">
        <f>IF(D4="","",D4+14)</f>
        <v/>
      </c>
    </row>
    <row r="5">
      <c r="A5" s="7" t="n"/>
      <c r="B5" s="7" t="n"/>
      <c r="C5" s="7" t="n"/>
      <c r="D5" s="12" t="n"/>
      <c r="E5" s="7" t="n"/>
      <c r="F5" s="7" t="n"/>
      <c r="G5" s="7" t="n"/>
      <c r="H5" s="8">
        <f>IF(D5="","",D5+14)</f>
        <v/>
      </c>
    </row>
    <row r="6">
      <c r="A6" s="7" t="n"/>
      <c r="B6" s="7" t="n"/>
      <c r="C6" s="7" t="n"/>
      <c r="D6" s="12" t="n"/>
      <c r="E6" s="7" t="n"/>
      <c r="F6" s="7" t="n"/>
      <c r="G6" s="7" t="n"/>
      <c r="H6" s="8">
        <f>IF(D6="","",D6+14)</f>
        <v/>
      </c>
    </row>
    <row r="7">
      <c r="A7" s="7" t="n"/>
      <c r="B7" s="7" t="n"/>
      <c r="C7" s="7" t="n"/>
      <c r="D7" s="12" t="n"/>
      <c r="E7" s="7" t="n"/>
      <c r="F7" s="7" t="n"/>
      <c r="G7" s="7" t="n"/>
      <c r="H7" s="8">
        <f>IF(D7="","",D7+14)</f>
        <v/>
      </c>
    </row>
    <row r="8">
      <c r="A8" s="7" t="n"/>
      <c r="B8" s="7" t="n"/>
      <c r="C8" s="7" t="n"/>
      <c r="D8" s="12" t="n"/>
      <c r="E8" s="7" t="n"/>
      <c r="F8" s="7" t="n"/>
      <c r="G8" s="7" t="n"/>
      <c r="H8" s="8">
        <f>IF(D8="","",D8+14)</f>
        <v/>
      </c>
    </row>
  </sheetData>
  <dataValidations count="1">
    <dataValidation sqref="G2:G8" showDropDown="0" showInputMessage="0" showErrorMessage="0" allowBlank="1" type="list">
      <formula1>"Not asked,Agreed,Invited,Submitted some,All submitted"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6" customWidth="1" min="3" max="3"/>
    <col width="34" customWidth="1" min="4" max="4"/>
    <col width="12" customWidth="1" min="5" max="5"/>
    <col width="12" customWidth="1" min="6" max="6"/>
    <col width="20" customWidth="1" min="7" max="7"/>
    <col width="30" customWidth="1" min="8" max="8"/>
  </cols>
  <sheetData>
    <row r="1">
      <c r="A1" s="3" t="inlineStr">
        <is>
          <t>Professor</t>
        </is>
      </c>
      <c r="B1" s="3" t="inlineStr">
        <is>
          <t>University</t>
        </is>
      </c>
      <c r="C1" s="3" t="inlineStr">
        <is>
          <t>Group / topic</t>
        </is>
      </c>
      <c r="D1" s="3" t="inlineStr">
        <is>
          <t>Paper you read</t>
        </is>
      </c>
      <c r="E1" s="3" t="inlineStr">
        <is>
          <t>Emailed on</t>
        </is>
      </c>
      <c r="F1" s="3" t="inlineStr">
        <is>
          <t>Follow up on</t>
        </is>
      </c>
      <c r="G1" s="3" t="inlineStr">
        <is>
          <t>Reply</t>
        </is>
      </c>
      <c r="H1" s="3" t="inlineStr">
        <is>
          <t>Next step</t>
        </is>
      </c>
    </row>
    <row r="2">
      <c r="A2" s="7" t="n"/>
      <c r="B2" s="7" t="n"/>
      <c r="C2" s="7" t="n"/>
      <c r="D2" s="7" t="n"/>
      <c r="E2" s="12" t="n"/>
      <c r="F2" s="8">
        <f>IF(E2="","",E2+10)</f>
        <v/>
      </c>
      <c r="G2" s="7" t="n"/>
      <c r="H2" s="7" t="n"/>
    </row>
    <row r="3">
      <c r="A3" s="7" t="n"/>
      <c r="B3" s="7" t="n"/>
      <c r="C3" s="7" t="n"/>
      <c r="D3" s="7" t="n"/>
      <c r="E3" s="12" t="n"/>
      <c r="F3" s="8">
        <f>IF(E3="","",E3+10)</f>
        <v/>
      </c>
      <c r="G3" s="7" t="n"/>
      <c r="H3" s="7" t="n"/>
    </row>
    <row r="4">
      <c r="A4" s="7" t="n"/>
      <c r="B4" s="7" t="n"/>
      <c r="C4" s="7" t="n"/>
      <c r="D4" s="7" t="n"/>
      <c r="E4" s="12" t="n"/>
      <c r="F4" s="8">
        <f>IF(E4="","",E4+10)</f>
        <v/>
      </c>
      <c r="G4" s="7" t="n"/>
      <c r="H4" s="7" t="n"/>
    </row>
    <row r="5">
      <c r="A5" s="7" t="n"/>
      <c r="B5" s="7" t="n"/>
      <c r="C5" s="7" t="n"/>
      <c r="D5" s="7" t="n"/>
      <c r="E5" s="12" t="n"/>
      <c r="F5" s="8">
        <f>IF(E5="","",E5+10)</f>
        <v/>
      </c>
      <c r="G5" s="7" t="n"/>
      <c r="H5" s="7" t="n"/>
    </row>
    <row r="6">
      <c r="A6" s="7" t="n"/>
      <c r="B6" s="7" t="n"/>
      <c r="C6" s="7" t="n"/>
      <c r="D6" s="7" t="n"/>
      <c r="E6" s="12" t="n"/>
      <c r="F6" s="8">
        <f>IF(E6="","",E6+10)</f>
        <v/>
      </c>
      <c r="G6" s="7" t="n"/>
      <c r="H6" s="7" t="n"/>
    </row>
    <row r="7">
      <c r="A7" s="7" t="n"/>
      <c r="B7" s="7" t="n"/>
      <c r="C7" s="7" t="n"/>
      <c r="D7" s="7" t="n"/>
      <c r="E7" s="12" t="n"/>
      <c r="F7" s="8">
        <f>IF(E7="","",E7+10)</f>
        <v/>
      </c>
      <c r="G7" s="7" t="n"/>
      <c r="H7" s="7" t="n"/>
    </row>
    <row r="8">
      <c r="A8" s="7" t="n"/>
      <c r="B8" s="7" t="n"/>
      <c r="C8" s="7" t="n"/>
      <c r="D8" s="7" t="n"/>
      <c r="E8" s="12" t="n"/>
      <c r="F8" s="8">
        <f>IF(E8="","",E8+10)</f>
        <v/>
      </c>
      <c r="G8" s="7" t="n"/>
      <c r="H8" s="7" t="n"/>
    </row>
    <row r="9">
      <c r="A9" s="7" t="n"/>
      <c r="B9" s="7" t="n"/>
      <c r="C9" s="7" t="n"/>
      <c r="D9" s="7" t="n"/>
      <c r="E9" s="12" t="n"/>
      <c r="F9" s="8">
        <f>IF(E9="","",E9+10)</f>
        <v/>
      </c>
      <c r="G9" s="7" t="n"/>
      <c r="H9" s="7" t="n"/>
    </row>
    <row r="10">
      <c r="A10" s="7" t="n"/>
      <c r="B10" s="7" t="n"/>
      <c r="C10" s="7" t="n"/>
      <c r="D10" s="7" t="n"/>
      <c r="E10" s="12" t="n"/>
      <c r="F10" s="8">
        <f>IF(E10="","",E10+10)</f>
        <v/>
      </c>
      <c r="G10" s="7" t="n"/>
      <c r="H10" s="7" t="n"/>
    </row>
    <row r="11">
      <c r="A11" s="7" t="n"/>
      <c r="B11" s="7" t="n"/>
      <c r="C11" s="7" t="n"/>
      <c r="D11" s="7" t="n"/>
      <c r="E11" s="12" t="n"/>
      <c r="F11" s="8">
        <f>IF(E11="","",E11+10)</f>
        <v/>
      </c>
      <c r="G11" s="7" t="n"/>
      <c r="H11" s="7" t="n"/>
    </row>
    <row r="12">
      <c r="A12" s="7" t="n"/>
      <c r="B12" s="7" t="n"/>
      <c r="C12" s="7" t="n"/>
      <c r="D12" s="7" t="n"/>
      <c r="E12" s="12" t="n"/>
      <c r="F12" s="8">
        <f>IF(E12="","",E12+10)</f>
        <v/>
      </c>
      <c r="G12" s="7" t="n"/>
      <c r="H12" s="7" t="n"/>
    </row>
    <row r="13">
      <c r="A13" s="7" t="n"/>
      <c r="B13" s="7" t="n"/>
      <c r="C13" s="7" t="n"/>
      <c r="D13" s="7" t="n"/>
      <c r="E13" s="12" t="n"/>
      <c r="F13" s="8">
        <f>IF(E13="","",E13+10)</f>
        <v/>
      </c>
      <c r="G13" s="7" t="n"/>
      <c r="H13" s="7" t="n"/>
    </row>
    <row r="14">
      <c r="A14" s="7" t="n"/>
      <c r="B14" s="7" t="n"/>
      <c r="C14" s="7" t="n"/>
      <c r="D14" s="7" t="n"/>
      <c r="E14" s="12" t="n"/>
      <c r="F14" s="8">
        <f>IF(E14="","",E14+10)</f>
        <v/>
      </c>
      <c r="G14" s="7" t="n"/>
      <c r="H14" s="7" t="n"/>
    </row>
    <row r="15">
      <c r="A15" s="7" t="n"/>
      <c r="B15" s="7" t="n"/>
      <c r="C15" s="7" t="n"/>
      <c r="D15" s="7" t="n"/>
      <c r="E15" s="12" t="n"/>
      <c r="F15" s="8">
        <f>IF(E15="","",E15+10)</f>
        <v/>
      </c>
      <c r="G15" s="7" t="n"/>
      <c r="H15" s="7" t="n"/>
    </row>
    <row r="16">
      <c r="A16" s="7" t="n"/>
      <c r="B16" s="7" t="n"/>
      <c r="C16" s="7" t="n"/>
      <c r="D16" s="7" t="n"/>
      <c r="E16" s="12" t="n"/>
      <c r="F16" s="8">
        <f>IF(E16="","",E16+10)</f>
        <v/>
      </c>
      <c r="G16" s="7" t="n"/>
      <c r="H16" s="7" t="n"/>
    </row>
    <row r="17">
      <c r="A17" s="7" t="n"/>
      <c r="B17" s="7" t="n"/>
      <c r="C17" s="7" t="n"/>
      <c r="D17" s="7" t="n"/>
      <c r="E17" s="12" t="n"/>
      <c r="F17" s="8">
        <f>IF(E17="","",E17+10)</f>
        <v/>
      </c>
      <c r="G17" s="7" t="n"/>
      <c r="H17" s="7" t="n"/>
    </row>
    <row r="18">
      <c r="A18" s="7" t="n"/>
      <c r="B18" s="7" t="n"/>
      <c r="C18" s="7" t="n"/>
      <c r="D18" s="7" t="n"/>
      <c r="E18" s="12" t="n"/>
      <c r="F18" s="8">
        <f>IF(E18="","",E18+10)</f>
        <v/>
      </c>
      <c r="G18" s="7" t="n"/>
      <c r="H18" s="7" t="n"/>
    </row>
    <row r="19">
      <c r="A19" s="7" t="n"/>
      <c r="B19" s="7" t="n"/>
      <c r="C19" s="7" t="n"/>
      <c r="D19" s="7" t="n"/>
      <c r="E19" s="12" t="n"/>
      <c r="F19" s="8">
        <f>IF(E19="","",E19+10)</f>
        <v/>
      </c>
      <c r="G19" s="7" t="n"/>
      <c r="H19" s="7" t="n"/>
    </row>
    <row r="20">
      <c r="A20" s="7" t="n"/>
      <c r="B20" s="7" t="n"/>
      <c r="C20" s="7" t="n"/>
      <c r="D20" s="7" t="n"/>
      <c r="E20" s="12" t="n"/>
      <c r="F20" s="8">
        <f>IF(E20="","",E20+10)</f>
        <v/>
      </c>
      <c r="G20" s="7" t="n"/>
      <c r="H20" s="7" t="n"/>
    </row>
    <row r="21">
      <c r="A21" s="7" t="n"/>
      <c r="B21" s="7" t="n"/>
      <c r="C21" s="7" t="n"/>
      <c r="D21" s="7" t="n"/>
      <c r="E21" s="12" t="n"/>
      <c r="F21" s="8">
        <f>IF(E21="","",E21+10)</f>
        <v/>
      </c>
      <c r="G21" s="7" t="n"/>
      <c r="H21" s="7" t="n"/>
    </row>
    <row r="22">
      <c r="A22" s="7" t="n"/>
      <c r="B22" s="7" t="n"/>
      <c r="C22" s="7" t="n"/>
      <c r="D22" s="7" t="n"/>
      <c r="E22" s="12" t="n"/>
      <c r="F22" s="8">
        <f>IF(E22="","",E22+10)</f>
        <v/>
      </c>
      <c r="G22" s="7" t="n"/>
      <c r="H22" s="7" t="n"/>
    </row>
    <row r="23">
      <c r="A23" s="7" t="n"/>
      <c r="B23" s="7" t="n"/>
      <c r="C23" s="7" t="n"/>
      <c r="D23" s="7" t="n"/>
      <c r="E23" s="12" t="n"/>
      <c r="F23" s="8">
        <f>IF(E23="","",E23+10)</f>
        <v/>
      </c>
      <c r="G23" s="7" t="n"/>
      <c r="H23" s="7" t="n"/>
    </row>
    <row r="24">
      <c r="A24" s="7" t="n"/>
      <c r="B24" s="7" t="n"/>
      <c r="C24" s="7" t="n"/>
      <c r="D24" s="7" t="n"/>
      <c r="E24" s="12" t="n"/>
      <c r="F24" s="8">
        <f>IF(E24="","",E24+10)</f>
        <v/>
      </c>
      <c r="G24" s="7" t="n"/>
      <c r="H24" s="7" t="n"/>
    </row>
    <row r="25">
      <c r="A25" s="7" t="n"/>
      <c r="B25" s="7" t="n"/>
      <c r="C25" s="7" t="n"/>
      <c r="D25" s="7" t="n"/>
      <c r="E25" s="12" t="n"/>
      <c r="F25" s="8">
        <f>IF(E25="","",E25+10)</f>
        <v/>
      </c>
      <c r="G25" s="7" t="n"/>
      <c r="H25" s="7" t="n"/>
    </row>
    <row r="26">
      <c r="A26" s="7" t="n"/>
      <c r="B26" s="7" t="n"/>
      <c r="C26" s="7" t="n"/>
      <c r="D26" s="7" t="n"/>
      <c r="E26" s="12" t="n"/>
      <c r="F26" s="8">
        <f>IF(E26="","",E26+10)</f>
        <v/>
      </c>
      <c r="G26" s="7" t="n"/>
      <c r="H26" s="7" t="n"/>
    </row>
    <row r="27">
      <c r="A27" s="7" t="n"/>
      <c r="B27" s="7" t="n"/>
      <c r="C27" s="7" t="n"/>
      <c r="D27" s="7" t="n"/>
      <c r="E27" s="12" t="n"/>
      <c r="F27" s="8">
        <f>IF(E27="","",E27+10)</f>
        <v/>
      </c>
      <c r="G27" s="7" t="n"/>
      <c r="H27" s="7" t="n"/>
    </row>
    <row r="28">
      <c r="A28" s="7" t="n"/>
      <c r="B28" s="7" t="n"/>
      <c r="C28" s="7" t="n"/>
      <c r="D28" s="7" t="n"/>
      <c r="E28" s="12" t="n"/>
      <c r="F28" s="8">
        <f>IF(E28="","",E28+10)</f>
        <v/>
      </c>
      <c r="G28" s="7" t="n"/>
      <c r="H28" s="7" t="n"/>
    </row>
    <row r="29">
      <c r="A29" s="7" t="n"/>
      <c r="B29" s="7" t="n"/>
      <c r="C29" s="7" t="n"/>
      <c r="D29" s="7" t="n"/>
      <c r="E29" s="12" t="n"/>
      <c r="F29" s="8">
        <f>IF(E29="","",E29+10)</f>
        <v/>
      </c>
      <c r="G29" s="7" t="n"/>
      <c r="H29" s="7" t="n"/>
    </row>
    <row r="30">
      <c r="A30" s="7" t="n"/>
      <c r="B30" s="7" t="n"/>
      <c r="C30" s="7" t="n"/>
      <c r="D30" s="7" t="n"/>
      <c r="E30" s="12" t="n"/>
      <c r="F30" s="8">
        <f>IF(E30="","",E30+10)</f>
        <v/>
      </c>
      <c r="G30" s="7" t="n"/>
      <c r="H30" s="7" t="n"/>
    </row>
  </sheetData>
  <dataValidations count="1">
    <dataValidation sqref="G2:G30" showDropDown="0" showInputMessage="0" showErrorMessage="0" allowBlank="1" type="list">
      <formula1>"No reply yet,Positive,Apply and mention me,Not taking students,Other"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14" customWidth="1" min="3" max="3"/>
    <col width="40" customWidth="1" min="4" max="4"/>
    <col width="70" customWidth="1" min="5" max="5"/>
    <col width="40" customWidth="1" min="6" max="6"/>
    <col width="18" customWidth="1" min="7" max="7"/>
    <col width="11" customWidth="1" min="8" max="8"/>
  </cols>
  <sheetData>
    <row r="1">
      <c r="A1" s="3" t="inlineStr">
        <is>
          <t>Program</t>
        </is>
      </c>
      <c r="B1" s="3" t="inlineStr">
        <is>
          <t>Field</t>
        </is>
      </c>
      <c r="C1" s="3" t="inlineStr">
        <is>
          <t>Code</t>
        </is>
      </c>
      <c r="D1" s="3" t="inlineStr">
        <is>
          <t>Value</t>
        </is>
      </c>
      <c r="E1" s="3" t="inlineStr">
        <is>
          <t>Official quote</t>
        </is>
      </c>
      <c r="F1" s="3" t="inlineStr">
        <is>
          <t>Source URL</t>
        </is>
      </c>
      <c r="G1" s="3" t="inlineStr">
        <is>
          <t>Flags</t>
        </is>
      </c>
      <c r="H1" s="3" t="inlineStr">
        <is>
          <t>Checked</t>
        </is>
      </c>
    </row>
    <row r="2">
      <c r="A2" s="4" t="inlineStr">
        <is>
          <t>Aalto University</t>
        </is>
      </c>
      <c r="B2" s="4" t="inlineStr">
        <is>
          <t>Deadline (2027 entry)</t>
        </is>
      </c>
      <c r="C2" s="4" t="inlineStr">
        <is>
          <t>Rolling</t>
        </is>
      </c>
      <c r="D2" s="4" t="inlineStr">
        <is>
          <t>Continuous admission with roughly monthly cut-offs (nothing is processed in July); the last 2026 cut-offs are 3 Nov and 1 Dec 2026. Salaried doctoral researcher positions are advertised and applied for separately</t>
        </is>
      </c>
      <c r="E2" s="4" t="inlineStr">
        <is>
          <t>The Doctoral Programme in Science invites applications continuously (applications will not be processed in July). | Tue 3.11.2026 | Tue 1.12.2026  ||  Salaried doctoral researcher positions are applied for separately from the admission process to the doctoral programme. (https://www.aalto.fi/en/doctoral-education/how-to-apply-for-doctoral-studies)</t>
        </is>
      </c>
      <c r="F2" s="4" t="inlineStr">
        <is>
          <t>https://www.aalto.fi/en/study-options/aalto-doctoral-programme-in-science-0</t>
        </is>
      </c>
      <c r="G2" s="4" t="inlineStr"/>
      <c r="H2" s="4" t="inlineStr">
        <is>
          <t>2026-10-21</t>
        </is>
      </c>
    </row>
    <row r="3">
      <c r="A3" s="4" t="inlineStr">
        <is>
          <t>Aalto University</t>
        </is>
      </c>
      <c r="B3" s="4" t="inlineStr">
        <is>
          <t>Application fee</t>
        </is>
      </c>
      <c r="C3" s="4" t="inlineStr">
        <is>
          <t>Not stated</t>
        </is>
      </c>
      <c r="D3" s="4" t="inlineStr">
        <is>
          <t>Not stated on the page checked</t>
        </is>
      </c>
      <c r="E3" s="4" t="inlineStr">
        <is>
          <t>(no statement found)</t>
        </is>
      </c>
      <c r="F3" s="4" t="inlineStr">
        <is>
          <t>https://www.aalto.fi/en/study-options/aalto-doctoral-programme-in-science-0</t>
        </is>
      </c>
      <c r="G3" s="4" t="inlineStr"/>
      <c r="H3" s="4" t="inlineStr">
        <is>
          <t>2026-10-21</t>
        </is>
      </c>
    </row>
    <row r="4">
      <c r="A4" s="4" t="inlineStr">
        <is>
          <t>Aalto University</t>
        </is>
      </c>
      <c r="B4" s="4" t="inlineStr">
        <is>
          <t>Intl fee waiver</t>
        </is>
      </c>
      <c r="C4" s="4" t="inlineStr">
        <is>
          <t>Not stated</t>
        </is>
      </c>
      <c r="D4" s="4" t="inlineStr">
        <is>
          <t>Not stated on the page checked</t>
        </is>
      </c>
      <c r="E4" s="4" t="inlineStr">
        <is>
          <t>(no statement found)</t>
        </is>
      </c>
      <c r="F4" s="4" t="inlineStr">
        <is>
          <t>https://www.aalto.fi/en/study-options/aalto-doctoral-programme-in-science-0</t>
        </is>
      </c>
      <c r="G4" s="4" t="inlineStr"/>
      <c r="H4" s="4" t="inlineStr">
        <is>
          <t>2026-10-21</t>
        </is>
      </c>
    </row>
    <row r="5">
      <c r="A5" s="4" t="inlineStr">
        <is>
          <t>Aalto University</t>
        </is>
      </c>
      <c r="B5" s="4" t="inlineStr">
        <is>
          <t>GRE General</t>
        </is>
      </c>
      <c r="C5" s="4" t="inlineStr">
        <is>
          <t>Not stated</t>
        </is>
      </c>
      <c r="D5" s="4" t="inlineStr">
        <is>
          <t>Not stated on the page checked</t>
        </is>
      </c>
      <c r="E5" s="4" t="inlineStr">
        <is>
          <t>(no statement found)</t>
        </is>
      </c>
      <c r="F5" s="4" t="inlineStr">
        <is>
          <t>https://www.aalto.fi/en/study-options/aalto-doctoral-programme-in-science-0</t>
        </is>
      </c>
      <c r="G5" s="4" t="inlineStr"/>
      <c r="H5" s="4" t="inlineStr">
        <is>
          <t>2026-10-21</t>
        </is>
      </c>
    </row>
    <row r="6">
      <c r="A6" s="4" t="inlineStr">
        <is>
          <t>Aalto University</t>
        </is>
      </c>
      <c r="B6" s="4" t="inlineStr">
        <is>
          <t>Physics GRE</t>
        </is>
      </c>
      <c r="C6" s="4" t="inlineStr">
        <is>
          <t>Not stated</t>
        </is>
      </c>
      <c r="D6" s="4" t="inlineStr">
        <is>
          <t>Not stated on the page checked</t>
        </is>
      </c>
      <c r="E6" s="4" t="inlineStr">
        <is>
          <t>(no statement found)</t>
        </is>
      </c>
      <c r="F6" s="4" t="inlineStr">
        <is>
          <t>https://www.aalto.fi/en/study-options/aalto-doctoral-programme-in-science-0</t>
        </is>
      </c>
      <c r="G6" s="4" t="inlineStr"/>
      <c r="H6" s="4" t="inlineStr">
        <is>
          <t>2026-10-21</t>
        </is>
      </c>
    </row>
    <row r="7">
      <c r="A7" s="4" t="inlineStr">
        <is>
          <t>Aalto University</t>
        </is>
      </c>
      <c r="B7" s="4" t="inlineStr">
        <is>
          <t>TOEFL minimum</t>
        </is>
      </c>
      <c r="C7" s="4" t="inlineStr">
        <is>
          <t>92</t>
        </is>
      </c>
      <c r="D7" s="4" t="inlineStr">
        <is>
          <t>TOEFL iBT 92 with 22 in Writing (2026 admissions; Home Edition accepted, MyBest not); IELTS Academic 6.5 with 6.0 in writing; results valid for two years</t>
        </is>
      </c>
      <c r="E7" s="4" t="inlineStr">
        <is>
          <t>TOEFL iBT (Internet-based Test): 92, and 22 for Writing | IELTS Academic: overall score 6.5, and writing score 6.0. | Language proficiency requirements 2026 | TOEFL test results are valid for two years from the date of the test.</t>
        </is>
      </c>
      <c r="F7" s="4" t="inlineStr">
        <is>
          <t>https://www.aalto.fi/en/doctoral-education/eligibility-and-language-requirements-in-doctoral-admissions</t>
        </is>
      </c>
      <c r="G7" s="4" t="inlineStr"/>
      <c r="H7" s="4" t="inlineStr">
        <is>
          <t>2026-10-21</t>
        </is>
      </c>
    </row>
    <row r="8">
      <c r="A8" s="4" t="inlineStr">
        <is>
          <t>Aalto University</t>
        </is>
      </c>
      <c r="B8" s="4" t="inlineStr">
        <is>
          <t>English-test waiver (English-medium degree)</t>
        </is>
      </c>
      <c r="C8" s="4" t="inlineStr">
        <is>
          <t>Yes</t>
        </is>
      </c>
      <c r="D8" s="4" t="inlineStr">
        <is>
          <t>India is on Aalto's list: an English-medium degree (at least a 3-year bachelor's or a 1-year master's), at least half completed in English while living in India, counts if the language is stated on the certificate or transcript</t>
        </is>
      </c>
      <c r="E8" s="4" t="inlineStr">
        <is>
          <t>English proficiency can be demonstrated with an English-medium bachelor’s, master’s, licentiate or doctoral degree in one of the following countries through studies that require residence in the country in question: | Hong Kong, India, Jamaica | A minimum of one half of the degree must be completed in English in a country listed above | The degree demonstrating language skills must be at least a three-year bachelor’s degree, at least a one-year master’s degree, or a licentiate or doctoral degree. | The language of the degree must be stated unambiguously on the degree certificate or its appendix, or on the transcript of records or other official document issued by the awarding institution</t>
        </is>
      </c>
      <c r="F8" s="4" t="inlineStr">
        <is>
          <t>https://www.aalto.fi/en/doctoral-education/eligibility-and-language-requirements-in-doctoral-admissions</t>
        </is>
      </c>
      <c r="G8" s="4" t="inlineStr"/>
      <c r="H8" s="4" t="inlineStr">
        <is>
          <t>2026-10-21</t>
        </is>
      </c>
    </row>
    <row r="9">
      <c r="A9" s="4" t="inlineStr">
        <is>
          <t>Aalto University</t>
        </is>
      </c>
      <c r="B9" s="4" t="inlineStr">
        <is>
          <t>Supervisor before admission</t>
        </is>
      </c>
      <c r="C9" s="4" t="inlineStr">
        <is>
          <t>Required</t>
        </is>
      </c>
      <c r="D9" s="4" t="inlineStr">
        <is>
          <t>You must have a supervising professor in your intended research field before you submit the application</t>
        </is>
      </c>
      <c r="E9" s="4" t="inlineStr">
        <is>
          <t>Before submitting the application, each applicant must have a supervising professor who is responsible in their intended research field to doctoral studies and the supervision of the studies.</t>
        </is>
      </c>
      <c r="F9" s="4" t="inlineStr">
        <is>
          <t>https://www.aalto.fi/en/study-options/aalto-doctoral-programme-in-science-0</t>
        </is>
      </c>
      <c r="G9" s="4" t="inlineStr"/>
      <c r="H9" s="4" t="inlineStr">
        <is>
          <t>2026-10-21</t>
        </is>
      </c>
    </row>
    <row r="10">
      <c r="A10" s="4" t="inlineStr">
        <is>
          <t>Aalto University</t>
        </is>
      </c>
      <c r="B10" s="4" t="inlineStr">
        <is>
          <t>PhD funding</t>
        </is>
      </c>
      <c r="C10" s="4" t="inlineStr">
        <is>
          <t>Competitive</t>
        </is>
      </c>
      <c r="D10" s="4" t="inlineStr">
        <is>
          <t>Not automatic: fund the PhD through a salaried doctoral researcher position (advertised separately) or grants. A full-time study right needs funding secured for at least 6 months; unfunded part-time study is possible in some cases. No tuition fees</t>
        </is>
      </c>
      <c r="E10" s="4" t="inlineStr">
        <is>
          <t>Those applying for a full-time right to pursue a doctoral degree must have funding secured for at least 6 months (e.g. from the employer, or through project funding or a grant). | In some cases it is also possible to start pursuing doctoral studies without funding (part-time doctoral studies). | Most Aalto doctoral students combine different funding sources during their studies. | Aalto University doctoral studies are free of tuition fees.</t>
        </is>
      </c>
      <c r="F10" s="4" t="inlineStr">
        <is>
          <t>https://www.aalto.fi/en/study-options/aalto-doctoral-programme-in-science-0</t>
        </is>
      </c>
      <c r="G10" s="4" t="inlineStr"/>
      <c r="H10" s="4" t="inlineStr">
        <is>
          <t>2026-10-21</t>
        </is>
      </c>
    </row>
    <row r="11">
      <c r="A11" s="4" t="inlineStr">
        <is>
          <t>Aalto University</t>
        </is>
      </c>
      <c r="B11" s="4" t="inlineStr">
        <is>
          <t>Entry route</t>
        </is>
      </c>
      <c r="C11" s="4" t="inlineStr">
        <is>
          <t>Master's usually required</t>
        </is>
      </c>
      <c r="D11" s="4" t="inlineStr">
        <is>
          <t>A relevant master's degree or equivalent; a degree from a non-Bologna country should normally include at least 4 years of study and a master's thesis</t>
        </is>
      </c>
      <c r="E11" s="4" t="inlineStr">
        <is>
          <t>To be eligible to apply in doctoral admissions, you must have a relevant Master’s degree or equivalent. | As a rule, a higher education degree (or degree combination) earned abroad in a country that does not follow the Bologna Process should include a minimum of 4 years of studies and a master’s thesis.</t>
        </is>
      </c>
      <c r="F11" s="4" t="inlineStr">
        <is>
          <t>https://www.aalto.fi/en/doctoral-education/eligibility-and-language-requirements-in-doctoral-admissions</t>
        </is>
      </c>
      <c r="G11" s="4" t="inlineStr"/>
      <c r="H11" s="4" t="inlineStr">
        <is>
          <t>2026-10-21</t>
        </is>
      </c>
    </row>
    <row r="12">
      <c r="A12" s="4" t="inlineStr">
        <is>
          <t>Boston University</t>
        </is>
      </c>
      <c r="B12" s="4" t="inlineStr">
        <is>
          <t>Deadline (2027 entry)</t>
        </is>
      </c>
      <c r="C12" s="4" t="inlineStr">
        <is>
          <t>2026-12-15</t>
        </is>
      </c>
      <c r="D12" s="4" t="inlineStr">
        <is>
          <t>December 15, 23:59 ET; all documents must be posted. Year inferred.</t>
        </is>
      </c>
      <c r="E12" s="4" t="inlineStr">
        <is>
          <t>The application portal will remain open until 23:59 ET on December 15.</t>
        </is>
      </c>
      <c r="F12" s="4" t="inlineStr">
        <is>
          <t>https://www.bu.edu/physics/graduate-program/graduate-program-admissions/</t>
        </is>
      </c>
      <c r="G12" s="4" t="inlineStr">
        <is>
          <t>year inferred</t>
        </is>
      </c>
      <c r="H12" s="4" t="inlineStr">
        <is>
          <t>2026-10-21</t>
        </is>
      </c>
    </row>
    <row r="13">
      <c r="A13" s="4" t="inlineStr">
        <is>
          <t>Boston University</t>
        </is>
      </c>
      <c r="B13" s="4" t="inlineStr">
        <is>
          <t>Application fee</t>
        </is>
      </c>
      <c r="C13" s="4" t="inlineStr">
        <is>
          <t>95 USD</t>
        </is>
      </c>
      <c r="D13" s="4" t="inlineStr">
        <is>
          <t>USD 95</t>
        </is>
      </c>
      <c r="E13" s="4" t="inlineStr">
        <is>
          <t>A $95 application fee.</t>
        </is>
      </c>
      <c r="F13" s="4" t="inlineStr">
        <is>
          <t>https://www.bu.edu/physics/graduate-program/graduate-program-admissions/</t>
        </is>
      </c>
      <c r="G13" s="4" t="inlineStr"/>
      <c r="H13" s="4" t="inlineStr">
        <is>
          <t>2026-10-21</t>
        </is>
      </c>
    </row>
    <row r="14">
      <c r="A14" s="4" t="inlineStr">
        <is>
          <t>Boston University</t>
        </is>
      </c>
      <c r="B14" s="4" t="inlineStr">
        <is>
          <t>Intl fee waiver</t>
        </is>
      </c>
      <c r="C14" s="4" t="inlineStr">
        <is>
          <t>Domestic only</t>
        </is>
      </c>
      <c r="D14" s="4" t="inlineStr">
        <is>
          <t>Central office waivers are domestic-only; international applicants may ask the program directly</t>
        </is>
      </c>
      <c r="E14" s="4" t="inlineStr">
        <is>
          <t>The central admission office of the Graduate School does not offer application fee waivers to international applicants.</t>
        </is>
      </c>
      <c r="F14" s="4" t="inlineStr">
        <is>
          <t>https://www.bu.edu/cas/admissions/phd-mfa/apply/fee-waiver/</t>
        </is>
      </c>
      <c r="G14" s="4" t="inlineStr"/>
      <c r="H14" s="4" t="inlineStr">
        <is>
          <t>2026-10-21</t>
        </is>
      </c>
    </row>
    <row r="15">
      <c r="A15" s="4" t="inlineStr">
        <is>
          <t>Boston University</t>
        </is>
      </c>
      <c r="B15" s="4" t="inlineStr">
        <is>
          <t>GRE General</t>
        </is>
      </c>
      <c r="C15" s="4" t="inlineStr">
        <is>
          <t>Optional</t>
        </is>
      </c>
      <c r="D15" s="4" t="inlineStr">
        <is>
          <t>Optional but strongly recommended if circumstances allow</t>
        </is>
      </c>
      <c r="E15" s="4" t="inlineStr">
        <is>
          <t>The general GRE and physics GRE are optional for all applicants to the Physics Ph.D. program. However, we strongly recommend that applicants submit their GRE and physics GRE scores with their applications, if circumstances allow.</t>
        </is>
      </c>
      <c r="F15" s="4" t="inlineStr">
        <is>
          <t>https://www.bu.edu/physics/graduate-program/graduate-program-admissions/</t>
        </is>
      </c>
      <c r="G15" s="4" t="inlineStr"/>
      <c r="H15" s="4" t="inlineStr">
        <is>
          <t>2026-10-21</t>
        </is>
      </c>
    </row>
    <row r="16">
      <c r="A16" s="4" t="inlineStr">
        <is>
          <t>Boston University</t>
        </is>
      </c>
      <c r="B16" s="4" t="inlineStr">
        <is>
          <t>Physics GRE</t>
        </is>
      </c>
      <c r="C16" s="4" t="inlineStr">
        <is>
          <t>Recommended</t>
        </is>
      </c>
      <c r="D16" s="4" t="inlineStr">
        <is>
          <t>Optional but strongly recommended</t>
        </is>
      </c>
      <c r="E16" s="4" t="inlineStr">
        <is>
          <t>we strongly recommend that applicants submit their GRE and physics GRE scores with their applications, if circumstances allow.</t>
        </is>
      </c>
      <c r="F16" s="4" t="inlineStr">
        <is>
          <t>https://www.bu.edu/physics/graduate-program/graduate-program-admissions/</t>
        </is>
      </c>
      <c r="G16" s="4" t="inlineStr"/>
      <c r="H16" s="4" t="inlineStr">
        <is>
          <t>2026-10-21</t>
        </is>
      </c>
    </row>
    <row r="17">
      <c r="A17" s="4" t="inlineStr">
        <is>
          <t>Boston University</t>
        </is>
      </c>
      <c r="B17" s="4" t="inlineStr">
        <is>
          <t>TOEFL minimum</t>
        </is>
      </c>
      <c r="C17" s="4" t="inlineStr">
        <is>
          <t>Not stated</t>
        </is>
      </c>
      <c r="D17" s="4" t="inlineStr">
        <is>
          <t>Must meet Graduate School minimum; not shown on the page checked</t>
        </is>
      </c>
      <c r="E17" s="4" t="inlineStr">
        <is>
          <t>Official English proficiency score report sent directly from testing organization which meets the minimum requirements.</t>
        </is>
      </c>
      <c r="F17" s="4" t="inlineStr">
        <is>
          <t>https://www.bu.edu/physics/graduate-program/graduate-program-admissions/</t>
        </is>
      </c>
      <c r="G17" s="4" t="inlineStr"/>
      <c r="H17" s="4" t="inlineStr">
        <is>
          <t>2026-10-21</t>
        </is>
      </c>
    </row>
    <row r="18">
      <c r="A18" s="4" t="inlineStr">
        <is>
          <t>Boston University</t>
        </is>
      </c>
      <c r="B18" s="4" t="inlineStr">
        <is>
          <t>English-test waiver (English-medium degree)</t>
        </is>
      </c>
      <c r="C18" s="4" t="inlineStr">
        <is>
          <t>Not stated</t>
        </is>
      </c>
      <c r="D18" s="4" t="inlineStr">
        <is>
          <t>Not stated on the page checked</t>
        </is>
      </c>
      <c r="E18" s="4" t="inlineStr">
        <is>
          <t>(no statement found)</t>
        </is>
      </c>
      <c r="F18" s="4" t="inlineStr">
        <is>
          <t>https://www.bu.edu/physics/graduate-program/graduate-program-admissions/</t>
        </is>
      </c>
      <c r="G18" s="4" t="inlineStr"/>
      <c r="H18" s="4" t="inlineStr">
        <is>
          <t>2026-10-21</t>
        </is>
      </c>
    </row>
    <row r="19">
      <c r="A19" s="4" t="inlineStr">
        <is>
          <t>Boston University</t>
        </is>
      </c>
      <c r="B19" s="4" t="inlineStr">
        <is>
          <t>Supervisor before admission</t>
        </is>
      </c>
      <c r="C19" s="4" t="inlineStr">
        <is>
          <t>Not stated</t>
        </is>
      </c>
      <c r="D19" s="4" t="inlineStr">
        <is>
          <t>No pre-application supervisor requirement mentioned</t>
        </is>
      </c>
      <c r="E19" s="4" t="inlineStr">
        <is>
          <t>(no statement found)</t>
        </is>
      </c>
      <c r="F19" s="4" t="inlineStr">
        <is>
          <t>https://www.bu.edu/physics/graduate-program/graduate-program-admissions/</t>
        </is>
      </c>
      <c r="G19" s="4" t="inlineStr"/>
      <c r="H19" s="4" t="inlineStr">
        <is>
          <t>2026-10-21</t>
        </is>
      </c>
    </row>
    <row r="20">
      <c r="A20" s="4" t="inlineStr">
        <is>
          <t>Boston University</t>
        </is>
      </c>
      <c r="B20" s="4" t="inlineStr">
        <is>
          <t>PhD funding</t>
        </is>
      </c>
      <c r="C20" s="4" t="inlineStr">
        <is>
          <t>Typical</t>
        </is>
      </c>
      <c r="D20" s="4" t="inlineStr">
        <is>
          <t>RAs and TAs receive tuition, fees and basic medical insurance plus a stipend</t>
        </is>
      </c>
      <c r="E20" s="4" t="inlineStr">
        <is>
          <t>Both research and teaching assistants receive a scholarship for tuition, fees and basic medical insurance, as well as a stipend.</t>
        </is>
      </c>
      <c r="F20" s="4" t="inlineStr">
        <is>
          <t>https://www.bu.edu/physics/graduate-program/graduate-program-admissions/</t>
        </is>
      </c>
      <c r="G20" s="4" t="inlineStr"/>
      <c r="H20" s="4" t="inlineStr">
        <is>
          <t>2026-10-21</t>
        </is>
      </c>
    </row>
    <row r="21">
      <c r="A21" s="4" t="inlineStr">
        <is>
          <t>Boston University</t>
        </is>
      </c>
      <c r="B21" s="4" t="inlineStr">
        <is>
          <t>Entry route</t>
        </is>
      </c>
      <c r="C21" s="4" t="inlineStr">
        <is>
          <t>Not stated</t>
        </is>
      </c>
      <c r="D21" s="4" t="inlineStr">
        <is>
          <t>Not stated on the page checked</t>
        </is>
      </c>
      <c r="E21" s="4" t="inlineStr">
        <is>
          <t>(no statement found)</t>
        </is>
      </c>
      <c r="F21" s="4" t="inlineStr">
        <is>
          <t>https://www.bu.edu/physics/graduate-program/graduate-program-admissions/</t>
        </is>
      </c>
      <c r="G21" s="4" t="inlineStr"/>
      <c r="H21" s="4" t="inlineStr">
        <is>
          <t>2026-10-21</t>
        </is>
      </c>
    </row>
    <row r="22">
      <c r="A22" s="4" t="inlineStr">
        <is>
          <t>California Institute of Technology</t>
        </is>
      </c>
      <c r="B22" s="4" t="inlineStr">
        <is>
          <t>Deadline (2027 entry)</t>
        </is>
      </c>
      <c r="C22" s="4" t="inlineStr">
        <is>
          <t>2026-12-15</t>
        </is>
      </c>
      <c r="D22" s="4" t="inlineStr">
        <is>
          <t>December 15 (catalog). Year inferred for Fall 2027.</t>
        </is>
      </c>
      <c r="E22" s="4" t="inlineStr">
        <is>
          <t>The application submission deadline for physics is December 15.</t>
        </is>
      </c>
      <c r="F22" s="4" t="inlineStr">
        <is>
          <t>https://catalog.caltech.edu/current/information-for-graduate-students/special-regulations-for-graduate-options/physics-ph/</t>
        </is>
      </c>
      <c r="G22" s="4" t="inlineStr">
        <is>
          <t>year inferred</t>
        </is>
      </c>
      <c r="H22" s="4" t="inlineStr">
        <is>
          <t>2026-10-21</t>
        </is>
      </c>
    </row>
    <row r="23">
      <c r="A23" s="4" t="inlineStr">
        <is>
          <t>California Institute of Technology</t>
        </is>
      </c>
      <c r="B23" s="4" t="inlineStr">
        <is>
          <t>Application fee</t>
        </is>
      </c>
      <c r="C23" s="4" t="inlineStr">
        <is>
          <t>Not stated</t>
        </is>
      </c>
      <c r="D23" s="4" t="inlineStr">
        <is>
          <t>Amount not shown on the pages checked</t>
        </is>
      </c>
      <c r="E23" s="4" t="inlineStr">
        <is>
          <t>(no statement found)</t>
        </is>
      </c>
      <c r="F23" s="4" t="inlineStr">
        <is>
          <t>https://physics.caltech.edu/academics/graduate-studies/information-for-applicants</t>
        </is>
      </c>
      <c r="G23" s="4" t="inlineStr"/>
      <c r="H23" s="4" t="inlineStr">
        <is>
          <t>2026-10-21</t>
        </is>
      </c>
    </row>
    <row r="24">
      <c r="A24" s="4" t="inlineStr">
        <is>
          <t>California Institute of Technology</t>
        </is>
      </c>
      <c r="B24" s="4" t="inlineStr">
        <is>
          <t>Intl fee waiver</t>
        </is>
      </c>
      <c r="C24" s="4" t="inlineStr">
        <is>
          <t>Limited</t>
        </is>
      </c>
      <c r="D24" s="4" t="inlineStr">
        <is>
          <t>Waivers are requested inside the online application; eligibility rules are not stated on the department page</t>
        </is>
      </c>
      <c r="E24" s="4" t="inlineStr">
        <is>
          <t>Application fee waivers are also requested and processed through the application process.</t>
        </is>
      </c>
      <c r="F24" s="4" t="inlineStr">
        <is>
          <t>https://physics.caltech.edu/academics/graduate-studies/information-for-applicants</t>
        </is>
      </c>
      <c r="G24" s="4" t="inlineStr"/>
      <c r="H24" s="4" t="inlineStr">
        <is>
          <t>2026-10-21</t>
        </is>
      </c>
    </row>
    <row r="25">
      <c r="A25" s="4" t="inlineStr">
        <is>
          <t>California Institute of Technology</t>
        </is>
      </c>
      <c r="B25" s="4" t="inlineStr">
        <is>
          <t>GRE General</t>
        </is>
      </c>
      <c r="C25" s="4" t="inlineStr">
        <is>
          <t>Recommended</t>
        </is>
      </c>
      <c r="D25" s="4" t="inlineStr">
        <is>
          <t>Recommended, not required; considered if submitted</t>
        </is>
      </c>
      <c r="E25" s="4" t="inlineStr">
        <is>
          <t>Important graduate admissions update for applicants to the Fall 2027 cohort: The GRE general test is recommended and the GRE physics subject test is required.</t>
        </is>
      </c>
      <c r="F25" s="4" t="inlineStr">
        <is>
          <t>https://physics.caltech.edu/academics/graduate-studies/information-for-applicants</t>
        </is>
      </c>
      <c r="G25" s="4" t="inlineStr"/>
      <c r="H25" s="4" t="inlineStr">
        <is>
          <t>2026-10-21</t>
        </is>
      </c>
    </row>
    <row r="26">
      <c r="A26" s="4" t="inlineStr">
        <is>
          <t>California Institute of Technology</t>
        </is>
      </c>
      <c r="B26" s="4" t="inlineStr">
        <is>
          <t>Physics GRE</t>
        </is>
      </c>
      <c r="C26" s="4" t="inlineStr">
        <is>
          <t>Required</t>
        </is>
      </c>
      <c r="D26" s="4" t="inlineStr">
        <is>
          <t>Physics GRE REQUIRED for the Fall 2027 cohort</t>
        </is>
      </c>
      <c r="E26" s="4" t="inlineStr">
        <is>
          <t>The GRE general test is recommended and the GRE physics subject test is required.</t>
        </is>
      </c>
      <c r="F26" s="4" t="inlineStr">
        <is>
          <t>https://physics.caltech.edu/academics/graduate-studies/information-for-applicants</t>
        </is>
      </c>
      <c r="G26" s="4" t="inlineStr"/>
      <c r="H26" s="4" t="inlineStr">
        <is>
          <t>2026-10-21</t>
        </is>
      </c>
    </row>
    <row r="27">
      <c r="A27" s="4" t="inlineStr">
        <is>
          <t>California Institute of Technology</t>
        </is>
      </c>
      <c r="B27" s="4" t="inlineStr">
        <is>
          <t>TOEFL minimum</t>
        </is>
      </c>
      <c r="C27" s="4" t="inlineStr">
        <is>
          <t>Not stated</t>
        </is>
      </c>
      <c r="D27" s="4" t="inlineStr">
        <is>
          <t>Not shown on the department page checked</t>
        </is>
      </c>
      <c r="E27" s="4" t="inlineStr">
        <is>
          <t>(no statement found)</t>
        </is>
      </c>
      <c r="F27" s="4" t="inlineStr">
        <is>
          <t>https://physics.caltech.edu/academics/graduate-studies/information-for-applicants</t>
        </is>
      </c>
      <c r="G27" s="4" t="inlineStr"/>
      <c r="H27" s="4" t="inlineStr">
        <is>
          <t>2026-10-21</t>
        </is>
      </c>
    </row>
    <row r="28">
      <c r="A28" s="4" t="inlineStr">
        <is>
          <t>California Institute of Technology</t>
        </is>
      </c>
      <c r="B28" s="4" t="inlineStr">
        <is>
          <t>English-test waiver (English-medium degree)</t>
        </is>
      </c>
      <c r="C28" s="4" t="inlineStr">
        <is>
          <t>Not stated</t>
        </is>
      </c>
      <c r="D28" s="4" t="inlineStr">
        <is>
          <t>Not stated on the page checked</t>
        </is>
      </c>
      <c r="E28" s="4" t="inlineStr">
        <is>
          <t>(no statement found)</t>
        </is>
      </c>
      <c r="F28" s="4" t="inlineStr">
        <is>
          <t>https://physics.caltech.edu/academics/graduate-studies/information-for-applicants</t>
        </is>
      </c>
      <c r="G28" s="4" t="inlineStr"/>
      <c r="H28" s="4" t="inlineStr">
        <is>
          <t>2026-10-21</t>
        </is>
      </c>
    </row>
    <row r="29">
      <c r="A29" s="4" t="inlineStr">
        <is>
          <t>California Institute of Technology</t>
        </is>
      </c>
      <c r="B29" s="4" t="inlineStr">
        <is>
          <t>Supervisor before admission</t>
        </is>
      </c>
      <c r="C29" s="4" t="inlineStr">
        <is>
          <t>Not stated</t>
        </is>
      </c>
      <c r="D29" s="4" t="inlineStr">
        <is>
          <t>No pre-application supervisor requirement mentioned</t>
        </is>
      </c>
      <c r="E29" s="4" t="inlineStr">
        <is>
          <t>(no statement found)</t>
        </is>
      </c>
      <c r="F29" s="4" t="inlineStr">
        <is>
          <t>https://physics.caltech.edu/academics/graduate-studies/information-for-applicants</t>
        </is>
      </c>
      <c r="G29" s="4" t="inlineStr"/>
      <c r="H29" s="4" t="inlineStr">
        <is>
          <t>2026-10-21</t>
        </is>
      </c>
    </row>
    <row r="30">
      <c r="A30" s="4" t="inlineStr">
        <is>
          <t>California Institute of Technology</t>
        </is>
      </c>
      <c r="B30" s="4" t="inlineStr">
        <is>
          <t>PhD funding</t>
        </is>
      </c>
      <c r="C30" s="4" t="inlineStr">
        <is>
          <t>Not stated</t>
        </is>
      </c>
      <c r="D30" s="4" t="inlineStr">
        <is>
          <t>Not stated on the page checked</t>
        </is>
      </c>
      <c r="E30" s="4" t="inlineStr">
        <is>
          <t>(no statement found)</t>
        </is>
      </c>
      <c r="F30" s="4" t="inlineStr">
        <is>
          <t>https://physics.caltech.edu/academics/graduate-studies/information-for-applicants</t>
        </is>
      </c>
      <c r="G30" s="4" t="inlineStr"/>
      <c r="H30" s="4" t="inlineStr">
        <is>
          <t>2026-10-21</t>
        </is>
      </c>
    </row>
    <row r="31">
      <c r="A31" s="4" t="inlineStr">
        <is>
          <t>California Institute of Technology</t>
        </is>
      </c>
      <c r="B31" s="4" t="inlineStr">
        <is>
          <t>Entry route</t>
        </is>
      </c>
      <c r="C31" s="4" t="inlineStr">
        <is>
          <t>Not stated</t>
        </is>
      </c>
      <c r="D31" s="4" t="inlineStr">
        <is>
          <t>Not stated on the page checked</t>
        </is>
      </c>
      <c r="E31" s="4" t="inlineStr">
        <is>
          <t>(no statement found)</t>
        </is>
      </c>
      <c r="F31" s="4" t="inlineStr">
        <is>
          <t>https://physics.caltech.edu/academics/graduate-studies/information-for-applicants</t>
        </is>
      </c>
      <c r="G31" s="4" t="inlineStr"/>
      <c r="H31" s="4" t="inlineStr">
        <is>
          <t>2026-10-21</t>
        </is>
      </c>
    </row>
    <row r="32">
      <c r="A32" s="4" t="inlineStr">
        <is>
          <t>Carleton University</t>
        </is>
      </c>
      <c r="B32" s="4" t="inlineStr">
        <is>
          <t>Deadline (2027 entry)</t>
        </is>
      </c>
      <c r="C32" s="4" t="inlineStr">
        <is>
          <t>2027-01-15</t>
        </is>
      </c>
      <c r="D32" s="4" t="inlineStr">
        <is>
          <t>January 15 (Fall entry); late applications considered if openings remain. Year inferred for Fall 2027.</t>
        </is>
      </c>
      <c r="E32" s="4" t="inlineStr">
        <is>
          <t>January 15 (late applications will be considered if openings remain)</t>
        </is>
      </c>
      <c r="F32" s="4" t="inlineStr">
        <is>
          <t>https://graduate.carleton.ca/program/physics-doctoral-programs/</t>
        </is>
      </c>
      <c r="G32" s="4" t="inlineStr">
        <is>
          <t>year inferred</t>
        </is>
      </c>
      <c r="H32" s="4" t="inlineStr">
        <is>
          <t>2026-10-21</t>
        </is>
      </c>
    </row>
    <row r="33">
      <c r="A33" s="4" t="inlineStr">
        <is>
          <t>Carleton University</t>
        </is>
      </c>
      <c r="B33" s="4" t="inlineStr">
        <is>
          <t>Application fee</t>
        </is>
      </c>
      <c r="C33" s="4" t="inlineStr">
        <is>
          <t>125 CAD</t>
        </is>
      </c>
      <c r="D33" s="4" t="inlineStr">
        <is>
          <t>CAD 125, non-refundable</t>
        </is>
      </c>
      <c r="E33" s="4" t="inlineStr">
        <is>
          <t>After you submit your application you will be required to pay the non-refundable application fee of C$125</t>
        </is>
      </c>
      <c r="F33" s="4" t="inlineStr">
        <is>
          <t>https://graduate.carleton.ca/apply-online/</t>
        </is>
      </c>
      <c r="G33" s="4" t="inlineStr"/>
      <c r="H33" s="4" t="inlineStr">
        <is>
          <t>2026-10-21</t>
        </is>
      </c>
    </row>
    <row r="34">
      <c r="A34" s="4" t="inlineStr">
        <is>
          <t>Carleton University</t>
        </is>
      </c>
      <c r="B34" s="4" t="inlineStr">
        <is>
          <t>Intl fee waiver</t>
        </is>
      </c>
      <c r="C34" s="4" t="inlineStr">
        <is>
          <t>None</t>
        </is>
      </c>
      <c r="D34" s="4" t="inlineStr">
        <is>
          <t>Graduate application fees are not waived</t>
        </is>
      </c>
      <c r="E34" s="4" t="inlineStr">
        <is>
          <t>Application fees for graduate programs will not be waived</t>
        </is>
      </c>
      <c r="F34" s="4" t="inlineStr">
        <is>
          <t>https://graduate.carleton.ca/apply-online/</t>
        </is>
      </c>
      <c r="G34" s="4" t="inlineStr"/>
      <c r="H34" s="4" t="inlineStr">
        <is>
          <t>2026-10-21</t>
        </is>
      </c>
    </row>
    <row r="35">
      <c r="A35" s="4" t="inlineStr">
        <is>
          <t>Carleton University</t>
        </is>
      </c>
      <c r="B35" s="4" t="inlineStr">
        <is>
          <t>GRE General</t>
        </is>
      </c>
      <c r="C35" s="4" t="inlineStr">
        <is>
          <t>Not stated</t>
        </is>
      </c>
      <c r="D35" s="4" t="inlineStr">
        <is>
          <t>Not stated on the page checked</t>
        </is>
      </c>
      <c r="E35" s="4" t="inlineStr">
        <is>
          <t>(no statement found)</t>
        </is>
      </c>
      <c r="F35" s="4" t="inlineStr">
        <is>
          <t>https://graduate.carleton.ca/program/physics-doctoral-programs/</t>
        </is>
      </c>
      <c r="G35" s="4" t="inlineStr"/>
      <c r="H35" s="4" t="inlineStr">
        <is>
          <t>2026-10-21</t>
        </is>
      </c>
    </row>
    <row r="36">
      <c r="A36" s="4" t="inlineStr">
        <is>
          <t>Carleton University</t>
        </is>
      </c>
      <c r="B36" s="4" t="inlineStr">
        <is>
          <t>Physics GRE</t>
        </is>
      </c>
      <c r="C36" s="4" t="inlineStr">
        <is>
          <t>Not stated</t>
        </is>
      </c>
      <c r="D36" s="4" t="inlineStr">
        <is>
          <t>Not stated on the page checked</t>
        </is>
      </c>
      <c r="E36" s="4" t="inlineStr">
        <is>
          <t>(no statement found)</t>
        </is>
      </c>
      <c r="F36" s="4" t="inlineStr">
        <is>
          <t>https://graduate.carleton.ca/program/physics-doctoral-programs/</t>
        </is>
      </c>
      <c r="G36" s="4" t="inlineStr"/>
      <c r="H36" s="4" t="inlineStr">
        <is>
          <t>2026-10-21</t>
        </is>
      </c>
    </row>
    <row r="37">
      <c r="A37" s="4" t="inlineStr">
        <is>
          <t>Carleton University</t>
        </is>
      </c>
      <c r="B37" s="4" t="inlineStr">
        <is>
          <t>TOEFL minimum</t>
        </is>
      </c>
      <c r="C37" s="4" t="inlineStr">
        <is>
          <t>86</t>
        </is>
      </c>
      <c r="D37" s="4" t="inlineStr">
        <is>
          <t>TOEFL iBT 86 (20 reading/listening, 22 speaking/writing) for tests before Jan 21, 2026; 4.5 overall on the new scale (5.0 writing); IELTS 6.5 (6.0 per band)</t>
        </is>
      </c>
      <c r="E37" s="4" t="inlineStr">
        <is>
          <t>For exams taken before January 21, 2026: | 86 (20 in reading and listening; 22 in speaking and writing) | 4.5 overall (minimum 5.0 in writing, 4.5 in reading, listening and speaking)</t>
        </is>
      </c>
      <c r="F37" s="4" t="inlineStr">
        <is>
          <t>https://graduate.carleton.ca/international/english-second-language/</t>
        </is>
      </c>
      <c r="G37" s="4" t="inlineStr"/>
      <c r="H37" s="4" t="inlineStr">
        <is>
          <t>2026-10-21</t>
        </is>
      </c>
    </row>
    <row r="38">
      <c r="A38" s="4" t="inlineStr">
        <is>
          <t>Carleton University</t>
        </is>
      </c>
      <c r="B38" s="4" t="inlineStr">
        <is>
          <t>English-test waiver (English-medium degree)</t>
        </is>
      </c>
      <c r="C38" s="4" t="inlineStr">
        <is>
          <t>No</t>
        </is>
      </c>
      <c r="D38" s="4" t="inlineStr">
        <is>
          <t>Exemption only for English-taught degrees from countries whose primary language is English (India does not qualify) or a recent Canadian degree; medium-of-instruction letters are explicitly not accepted</t>
        </is>
      </c>
      <c r="E38" s="4" t="inlineStr">
        <is>
          <t>presenting official certification (transcripts) that you have completed an undergraduate or graduate degree at a university in any country in which the primary language is English | Note: Letters from your universities stating the medium of instruction is English are not acceptable.</t>
        </is>
      </c>
      <c r="F38" s="4" t="inlineStr">
        <is>
          <t>https://graduate.carleton.ca/international/english-second-language/</t>
        </is>
      </c>
      <c r="G38" s="4" t="inlineStr"/>
      <c r="H38" s="4" t="inlineStr">
        <is>
          <t>2026-10-21</t>
        </is>
      </c>
    </row>
    <row r="39">
      <c r="A39" s="4" t="inlineStr">
        <is>
          <t>Carleton University</t>
        </is>
      </c>
      <c r="B39" s="4" t="inlineStr">
        <is>
          <t>Supervisor before admission</t>
        </is>
      </c>
      <c r="C39" s="4" t="inlineStr">
        <is>
          <t>Not stated</t>
        </is>
      </c>
      <c r="D39" s="4" t="inlineStr">
        <is>
          <t>Not stated on the page checked</t>
        </is>
      </c>
      <c r="E39" s="4" t="inlineStr">
        <is>
          <t>(no statement found)</t>
        </is>
      </c>
      <c r="F39" s="4" t="inlineStr">
        <is>
          <t>https://graduate.carleton.ca/program/physics-doctoral-programs/</t>
        </is>
      </c>
      <c r="G39" s="4" t="inlineStr"/>
      <c r="H39" s="4" t="inlineStr">
        <is>
          <t>2026-10-21</t>
        </is>
      </c>
    </row>
    <row r="40">
      <c r="A40" s="4" t="inlineStr">
        <is>
          <t>Carleton University</t>
        </is>
      </c>
      <c r="B40" s="4" t="inlineStr">
        <is>
          <t>PhD funding</t>
        </is>
      </c>
      <c r="C40" s="4" t="inlineStr">
        <is>
          <t>Competitive</t>
        </is>
      </c>
      <c r="D40" s="4" t="inlineStr">
        <is>
          <t>University-level statement: applicants are automatically considered for admission funding (TA, research stipend, scholarships) and notified in the offer if eligible; no guaranteed minimum stated on the pages checked</t>
        </is>
      </c>
      <c r="E40" s="4" t="inlineStr">
        <is>
          <t>When submitting an application for admission to Carleton, students are automatically considered for funding and if eligible, will be notified in the Offer of Admission and Funding.</t>
        </is>
      </c>
      <c r="F40" s="4" t="inlineStr">
        <is>
          <t>https://graduate.carleton.ca/financial-assistance/admissions-funding/</t>
        </is>
      </c>
      <c r="G40" s="4" t="inlineStr"/>
      <c r="H40" s="4" t="inlineStr">
        <is>
          <t>2026-10-21</t>
        </is>
      </c>
    </row>
    <row r="41">
      <c r="A41" s="4" t="inlineStr">
        <is>
          <t>Carleton University</t>
        </is>
      </c>
      <c r="B41" s="4" t="inlineStr">
        <is>
          <t>Entry route</t>
        </is>
      </c>
      <c r="C41" s="4" t="inlineStr">
        <is>
          <t>Master's usually required</t>
        </is>
      </c>
      <c r="D41" s="4" t="inlineStr">
        <is>
          <t>An MSc is normally required; exceptional honours-BSc holders (A- average, significant research) may enter the Direct Entry PhD; MSc-to-PhD transfer possible</t>
        </is>
      </c>
      <c r="E41" s="4" t="inlineStr">
        <is>
          <t>An M.Sc. in Physics or a closely related field is normally required for admission into the Ph.D. program. | Exceptional undergraduate students holding an honours B.Sc. in Physics or a closely related field, with a minimum A- average and significant research experience, may be considered for the Direct Entry Ph.D. program.</t>
        </is>
      </c>
      <c r="F41" s="4" t="inlineStr">
        <is>
          <t>https://calendar.carleton.ca/grad/gradprograms/physics/</t>
        </is>
      </c>
      <c r="G41" s="4" t="inlineStr"/>
      <c r="H41" s="4" t="inlineStr">
        <is>
          <t>2026-10-21</t>
        </is>
      </c>
    </row>
    <row r="42">
      <c r="A42" s="4" t="inlineStr">
        <is>
          <t>Chalmers University of Technology</t>
        </is>
      </c>
      <c r="B42" s="4" t="inlineStr">
        <is>
          <t>Deadline (2027 entry)</t>
        </is>
      </c>
      <c r="C42" s="4" t="inlineStr">
        <is>
          <t>Per position</t>
        </is>
      </c>
      <c r="D42" s="4" t="inlineStr">
        <is>
          <t>No central deadline: doctoral positions are advertised under Vacant positions throughout the year, each with its own deadline</t>
        </is>
      </c>
      <c r="E42" s="4" t="inlineStr">
        <is>
          <t>Doctoral student positions are publicly announced and listed under Vacant positions. New positions are posted regularly throughout the year.</t>
        </is>
      </c>
      <c r="F42" s="4" t="inlineStr">
        <is>
          <t>https://www.chalmers.se/en/research/doctoral-studies/about-doctoral-studies/</t>
        </is>
      </c>
      <c r="G42" s="4" t="inlineStr"/>
      <c r="H42" s="4" t="inlineStr">
        <is>
          <t>2026-10-21</t>
        </is>
      </c>
    </row>
    <row r="43">
      <c r="A43" s="4" t="inlineStr">
        <is>
          <t>Chalmers University of Technology</t>
        </is>
      </c>
      <c r="B43" s="4" t="inlineStr">
        <is>
          <t>Application fee</t>
        </is>
      </c>
      <c r="C43" s="4" t="inlineStr">
        <is>
          <t>0 (no fee)</t>
        </is>
      </c>
      <c r="D43" s="4" t="inlineStr">
        <is>
          <t>No fees: Chalmers states that doctoral programmes incur no fees</t>
        </is>
      </c>
      <c r="E43" s="4" t="inlineStr">
        <is>
          <t>Doctoral students are employed with a monthly salary, and doctoral programmes incur no fees.</t>
        </is>
      </c>
      <c r="F43" s="4" t="inlineStr">
        <is>
          <t>https://www.chalmers.se/en/research/doctoral-studies/about-doctoral-studies/</t>
        </is>
      </c>
      <c r="G43" s="4" t="inlineStr"/>
      <c r="H43" s="4" t="inlineStr">
        <is>
          <t>2026-10-21</t>
        </is>
      </c>
    </row>
    <row r="44">
      <c r="A44" s="4" t="inlineStr">
        <is>
          <t>Chalmers University of Technology</t>
        </is>
      </c>
      <c r="B44" s="4" t="inlineStr">
        <is>
          <t>Intl fee waiver</t>
        </is>
      </c>
      <c r="C44" s="4" t="inlineStr">
        <is>
          <t>No fee</t>
        </is>
      </c>
      <c r="D44" s="4" t="inlineStr">
        <is>
          <t>No fee to waive</t>
        </is>
      </c>
      <c r="E44" s="4" t="inlineStr">
        <is>
          <t>doctoral programmes incur no fees</t>
        </is>
      </c>
      <c r="F44" s="4" t="inlineStr">
        <is>
          <t>https://www.chalmers.se/en/research/doctoral-studies/about-doctoral-studies/</t>
        </is>
      </c>
      <c r="G44" s="4" t="inlineStr"/>
      <c r="H44" s="4" t="inlineStr">
        <is>
          <t>2026-10-21</t>
        </is>
      </c>
    </row>
    <row r="45">
      <c r="A45" s="4" t="inlineStr">
        <is>
          <t>Chalmers University of Technology</t>
        </is>
      </c>
      <c r="B45" s="4" t="inlineStr">
        <is>
          <t>GRE General</t>
        </is>
      </c>
      <c r="C45" s="4" t="inlineStr">
        <is>
          <t>Not stated</t>
        </is>
      </c>
      <c r="D45" s="4" t="inlineStr">
        <is>
          <t>Not stated on the page checked</t>
        </is>
      </c>
      <c r="E45" s="4" t="inlineStr">
        <is>
          <t>(no statement found)</t>
        </is>
      </c>
      <c r="F45" s="4" t="inlineStr">
        <is>
          <t>https://www.chalmers.se/en/research/doctoral-studies/about-doctoral-studies/</t>
        </is>
      </c>
      <c r="G45" s="4" t="inlineStr"/>
      <c r="H45" s="4" t="inlineStr">
        <is>
          <t>2026-10-21</t>
        </is>
      </c>
    </row>
    <row r="46">
      <c r="A46" s="4" t="inlineStr">
        <is>
          <t>Chalmers University of Technology</t>
        </is>
      </c>
      <c r="B46" s="4" t="inlineStr">
        <is>
          <t>Physics GRE</t>
        </is>
      </c>
      <c r="C46" s="4" t="inlineStr">
        <is>
          <t>Not stated</t>
        </is>
      </c>
      <c r="D46" s="4" t="inlineStr">
        <is>
          <t>Not stated on the page checked</t>
        </is>
      </c>
      <c r="E46" s="4" t="inlineStr">
        <is>
          <t>(no statement found)</t>
        </is>
      </c>
      <c r="F46" s="4" t="inlineStr">
        <is>
          <t>https://www.chalmers.se/en/research/doctoral-studies/about-doctoral-studies/</t>
        </is>
      </c>
      <c r="G46" s="4" t="inlineStr"/>
      <c r="H46" s="4" t="inlineStr">
        <is>
          <t>2026-10-21</t>
        </is>
      </c>
    </row>
    <row r="47">
      <c r="A47" s="4" t="inlineStr">
        <is>
          <t>Chalmers University of Technology</t>
        </is>
      </c>
      <c r="B47" s="4" t="inlineStr">
        <is>
          <t>TOEFL minimum</t>
        </is>
      </c>
      <c r="C47" s="4" t="inlineStr">
        <is>
          <t>90</t>
        </is>
      </c>
      <c r="D47" s="4" t="inlineStr">
        <is>
          <t>English B/6 minimum. University Admissions (which Chalmers refers to) sets English 6 at TOEFL iBT 90 with 20 in writing (tests up to 20 Jan 2026) or 4.5 on the new scale with no section below 4; IELTS 6.5</t>
        </is>
      </c>
      <c r="E47" s="4" t="inlineStr">
        <is>
          <t>The minimum language requirement is English B/6 (in the Swedish upper secondary school). For more information on this, please see information provided by University Admissions in Sweden.  ||  For English 6/English Level 2*: Total score of 4.5 (scale 1-6) with no section less than 4 | For English 6/English Level 2*: Score of 20 (scale 0-30) in written test, total score of 90 | For English 6/English Level 2*: an overall score of 6.5 and no section below 5.5 (https://www.universityadmissions.se/en/entry-requirements/english-language-requirements/)</t>
        </is>
      </c>
      <c r="F47" s="4" t="inlineStr">
        <is>
          <t>https://www.chalmers.se/en/research/doctoral-studies/about-doctoral-studies/</t>
        </is>
      </c>
      <c r="G47" s="4" t="inlineStr"/>
      <c r="H47" s="4" t="inlineStr">
        <is>
          <t>2026-10-21</t>
        </is>
      </c>
    </row>
    <row r="48">
      <c r="A48" s="4" t="inlineStr">
        <is>
          <t>Chalmers University of Technology</t>
        </is>
      </c>
      <c r="B48" s="4" t="inlineStr">
        <is>
          <t>English-test waiver (English-medium degree)</t>
        </is>
      </c>
      <c r="C48" s="4" t="inlineStr">
        <is>
          <t>Conditional</t>
        </is>
      </c>
      <c r="D48" s="4" t="inlineStr">
        <is>
          <t>Indian upper-secondary English can meet the requirement: CBSE (2008 onwards) or CISCE Class XII English grades, or an English-medium upper secondary certificate. The India page offers no degree-based route, so otherwise take a test</t>
        </is>
      </c>
      <c r="E48" s="4" t="inlineStr">
        <is>
          <t>grades in the subject English language and at least three other subjects with English as the language of instruction | grades in the subject English language stated in Indian School Certificate Class XII (year 12) that are issued by the Council for the Indian School Certificate Examinations (CISCE) | grades in the subject English language stated in Senior School Certificate Examination / Marks Statement cum Certificate that are issued by Central Board of Secondary Education (CBSE) from 2008 and onwards | Previous university studies and English test | You can also demonstrate that you meet the English language requirement through an internationally approved English test.  ||  The minimum language requirement is English B/6 (in the Swedish upper secondary school). (https://www.chalmers.se/en/research/doctoral-studies/about-doctoral-studies/)</t>
        </is>
      </c>
      <c r="F48" s="4" t="inlineStr">
        <is>
          <t>https://www.universityadmissions.se/en/apply-to-masters/provide-application-documents-masters/country-instructions/india/</t>
        </is>
      </c>
      <c r="G48" s="4" t="inlineStr"/>
      <c r="H48" s="4" t="inlineStr">
        <is>
          <t>2026-10-21</t>
        </is>
      </c>
    </row>
    <row r="49">
      <c r="A49" s="4" t="inlineStr">
        <is>
          <t>Chalmers University of Technology</t>
        </is>
      </c>
      <c r="B49" s="4" t="inlineStr">
        <is>
          <t>Supervisor before admission</t>
        </is>
      </c>
      <c r="C49" s="4" t="inlineStr">
        <is>
          <t>Not stated</t>
        </is>
      </c>
      <c r="D49" s="4" t="inlineStr">
        <is>
          <t>Not stated on the page checked</t>
        </is>
      </c>
      <c r="E49" s="4" t="inlineStr">
        <is>
          <t>(no statement found)</t>
        </is>
      </c>
      <c r="F49" s="4" t="inlineStr">
        <is>
          <t>https://www.chalmers.se/en/research/doctoral-studies/about-doctoral-studies/</t>
        </is>
      </c>
      <c r="G49" s="4" t="inlineStr"/>
      <c r="H49" s="4" t="inlineStr">
        <is>
          <t>2026-10-21</t>
        </is>
      </c>
    </row>
    <row r="50">
      <c r="A50" s="4" t="inlineStr">
        <is>
          <t>Chalmers University of Technology</t>
        </is>
      </c>
      <c r="B50" s="4" t="inlineStr">
        <is>
          <t>PhD funding</t>
        </is>
      </c>
      <c r="C50" s="4" t="inlineStr">
        <is>
          <t>Guaranteed</t>
        </is>
      </c>
      <c r="D50" s="4" t="inlineStr">
        <is>
          <t>Doctoral students are employed by Chalmers on a monthly salary (fixed-term, generally at most five years), with up to 20% teaching or departmental work</t>
        </is>
      </c>
      <c r="E50" s="4" t="inlineStr">
        <is>
          <t>As a doctoral student, you are employed by Chalmers. | Doctoral students are employed with a monthly salary, and doctoral programmes incur no fees. | Teaching and other departmental work may account for a maximum of 20 per cent of working hours.</t>
        </is>
      </c>
      <c r="F50" s="4" t="inlineStr">
        <is>
          <t>https://www.chalmers.se/en/research/doctoral-studies/about-doctoral-studies/</t>
        </is>
      </c>
      <c r="G50" s="4" t="inlineStr"/>
      <c r="H50" s="4" t="inlineStr">
        <is>
          <t>2026-10-21</t>
        </is>
      </c>
    </row>
    <row r="51">
      <c r="A51" s="4" t="inlineStr">
        <is>
          <t>Chalmers University of Technology</t>
        </is>
      </c>
      <c r="B51" s="4" t="inlineStr">
        <is>
          <t>Entry route</t>
        </is>
      </c>
      <c r="C51" s="4" t="inlineStr">
        <is>
          <t>Master's usually required</t>
        </is>
      </c>
      <c r="D51" s="4" t="inlineStr">
        <is>
          <t>A completed master's degree (60 or 120 credits) with a specialisation close enough to the subject, plus the graduate school's subject-specific requirements</t>
        </is>
      </c>
      <c r="E51" s="4" t="inlineStr">
        <is>
          <t>To be admitted to doctoral programmes at Chalmers, you must have completed a degree at second-cycle level, i.e. a Master’s degree with 120 higher education credits or a Master’s degree with 60 higher education credits. | Your degree should also have a specialisation that is sufficiently related to the subject of the doctoral programme.</t>
        </is>
      </c>
      <c r="F51" s="4" t="inlineStr">
        <is>
          <t>https://www.chalmers.se/en/research/doctoral-studies/about-doctoral-studies/</t>
        </is>
      </c>
      <c r="G51" s="4" t="inlineStr"/>
      <c r="H51" s="4" t="inlineStr">
        <is>
          <t>2026-10-21</t>
        </is>
      </c>
    </row>
    <row r="52">
      <c r="A52" s="4" t="inlineStr">
        <is>
          <t>Columbia University</t>
        </is>
      </c>
      <c r="B52" s="4" t="inlineStr">
        <is>
          <t>Deadline (2027 entry)</t>
        </is>
      </c>
      <c r="C52" s="4" t="inlineStr">
        <is>
          <t>2026-12-03</t>
        </is>
      </c>
      <c r="D52" s="4" t="inlineStr">
        <is>
          <t>December 3, 2026 for Fall 2027 (early!)</t>
        </is>
      </c>
      <c r="E52" s="4" t="inlineStr">
        <is>
          <t>Applications for students wishing to enroll in the Physics PhD program for Fall 2027 are due by December 3, 2026.</t>
        </is>
      </c>
      <c r="F52" s="4" t="inlineStr">
        <is>
          <t>https://www.physics.columbia.edu/content/applying-columbia-physics-graduate-program</t>
        </is>
      </c>
      <c r="G52" s="4" t="inlineStr"/>
      <c r="H52" s="4" t="inlineStr">
        <is>
          <t>2026-10-21</t>
        </is>
      </c>
    </row>
    <row r="53">
      <c r="A53" s="4" t="inlineStr">
        <is>
          <t>Columbia University</t>
        </is>
      </c>
      <c r="B53" s="4" t="inlineStr">
        <is>
          <t>Application fee</t>
        </is>
      </c>
      <c r="C53" s="4" t="inlineStr">
        <is>
          <t>120 USD</t>
        </is>
      </c>
      <c r="D53" s="4" t="inlineStr">
        <is>
          <t>USD 120 non-refundable</t>
        </is>
      </c>
      <c r="E53" s="4" t="inlineStr">
        <is>
          <t>A nonrefundable fee of $120 must accompany the completed form.</t>
        </is>
      </c>
      <c r="F53" s="4" t="inlineStr">
        <is>
          <t>https://www.physics.columbia.edu/content/applying-columbia-physics-graduate-program</t>
        </is>
      </c>
      <c r="G53" s="4" t="inlineStr"/>
      <c r="H53" s="4" t="inlineStr">
        <is>
          <t>2026-10-21</t>
        </is>
      </c>
    </row>
    <row r="54">
      <c r="A54" s="4" t="inlineStr">
        <is>
          <t>Columbia University</t>
        </is>
      </c>
      <c r="B54" s="4" t="inlineStr">
        <is>
          <t>Intl fee waiver</t>
        </is>
      </c>
      <c r="C54" s="4" t="inlineStr">
        <is>
          <t>Available</t>
        </is>
      </c>
      <c r="D54" s="4" t="inlineStr">
        <is>
          <t>GSAS considers waivers for financial need, personal hardship or other onerous circumstances</t>
        </is>
      </c>
      <c r="E54" s="4" t="inlineStr">
        <is>
          <t>The Graduate School will consider a waiver of the application fee for applicants who demonstrate financial need, personal hardship, or other circumstances that make paying the application fee unduly onerous.</t>
        </is>
      </c>
      <c r="F54" s="4" t="inlineStr">
        <is>
          <t>https://www.physics.columbia.edu/content/applying-columbia-physics-graduate-program</t>
        </is>
      </c>
      <c r="G54" s="4" t="inlineStr"/>
      <c r="H54" s="4" t="inlineStr">
        <is>
          <t>2026-10-21</t>
        </is>
      </c>
    </row>
    <row r="55">
      <c r="A55" s="4" t="inlineStr">
        <is>
          <t>Columbia University</t>
        </is>
      </c>
      <c r="B55" s="4" t="inlineStr">
        <is>
          <t>GRE General</t>
        </is>
      </c>
      <c r="C55" s="4" t="inlineStr">
        <is>
          <t>Optional</t>
        </is>
      </c>
      <c r="D55" s="4" t="inlineStr">
        <is>
          <t>Allowed but not required</t>
        </is>
      </c>
      <c r="E55" s="4" t="inlineStr">
        <is>
          <t>Submission of GRE scores is allowed but not required; the choice is yours.</t>
        </is>
      </c>
      <c r="F55" s="4" t="inlineStr">
        <is>
          <t>https://www.gsas.columbia.edu/content/physics</t>
        </is>
      </c>
      <c r="G55" s="4" t="inlineStr"/>
      <c r="H55" s="4" t="inlineStr">
        <is>
          <t>2026-10-21</t>
        </is>
      </c>
    </row>
    <row r="56">
      <c r="A56" s="4" t="inlineStr">
        <is>
          <t>Columbia University</t>
        </is>
      </c>
      <c r="B56" s="4" t="inlineStr">
        <is>
          <t>Physics GRE</t>
        </is>
      </c>
      <c r="C56" s="4" t="inlineStr">
        <is>
          <t>Optional</t>
        </is>
      </c>
      <c r="D56" s="4" t="inlineStr">
        <is>
          <t>Full consideration with or without the Physics GRE; no preselection on scores</t>
        </is>
      </c>
      <c r="E56" s="4" t="inlineStr">
        <is>
          <t>we will give full consideration to all applications, with or without Physics GRE scores; in particular there will be no preselection based on GRE scores prior to the holistic review</t>
        </is>
      </c>
      <c r="F56" s="4" t="inlineStr">
        <is>
          <t>https://www.gsas.columbia.edu/content/physics</t>
        </is>
      </c>
      <c r="G56" s="4" t="inlineStr"/>
      <c r="H56" s="4" t="inlineStr">
        <is>
          <t>2026-10-21</t>
        </is>
      </c>
    </row>
    <row r="57">
      <c r="A57" s="4" t="inlineStr">
        <is>
          <t>Columbia University</t>
        </is>
      </c>
      <c r="B57" s="4" t="inlineStr">
        <is>
          <t>TOEFL minimum</t>
        </is>
      </c>
      <c r="C57" s="4" t="inlineStr">
        <is>
          <t>Not stated</t>
        </is>
      </c>
      <c r="D57" s="4" t="inlineStr">
        <is>
          <t>TOEFL, IELTS or Duolingo accepted; minimum not shown on the pages checked</t>
        </is>
      </c>
      <c r="E57" s="4" t="inlineStr">
        <is>
          <t>This requirement can be fulfilled through the Test of English as a Foreign Language (TOEFL), the International English Language Testing System (IELTS), or the Duolingo English Test (DET).</t>
        </is>
      </c>
      <c r="F57" s="4" t="inlineStr">
        <is>
          <t>https://www.gsas.columbia.edu/content/physics</t>
        </is>
      </c>
      <c r="G57" s="4" t="inlineStr"/>
      <c r="H57" s="4" t="inlineStr">
        <is>
          <t>2026-10-21</t>
        </is>
      </c>
    </row>
    <row r="58">
      <c r="A58" s="4" t="inlineStr">
        <is>
          <t>Columbia University</t>
        </is>
      </c>
      <c r="B58" s="4" t="inlineStr">
        <is>
          <t>English-test waiver (English-medium degree)</t>
        </is>
      </c>
      <c r="C58" s="4" t="inlineStr">
        <is>
          <t>Conditional</t>
        </is>
      </c>
      <c r="D58" s="4" t="inlineStr">
        <is>
          <t>Rule is based on the official language of your degree institution's country; English is an official language in India, so ask GSAS how this applies to you</t>
        </is>
      </c>
      <c r="E58" s="4" t="inlineStr">
        <is>
          <t>All applicants whose undergraduate degree is from an institution in a country whose official language is not English must submit English proficiency exam scores.</t>
        </is>
      </c>
      <c r="F58" s="4" t="inlineStr">
        <is>
          <t>https://www.gsas.columbia.edu/content/physics</t>
        </is>
      </c>
      <c r="G58" s="4" t="inlineStr"/>
      <c r="H58" s="4" t="inlineStr">
        <is>
          <t>2026-10-21</t>
        </is>
      </c>
    </row>
    <row r="59">
      <c r="A59" s="4" t="inlineStr">
        <is>
          <t>Columbia University</t>
        </is>
      </c>
      <c r="B59" s="4" t="inlineStr">
        <is>
          <t>Supervisor before admission</t>
        </is>
      </c>
      <c r="C59" s="4" t="inlineStr">
        <is>
          <t>Not stated</t>
        </is>
      </c>
      <c r="D59" s="4" t="inlineStr">
        <is>
          <t>No pre-application supervisor requirement mentioned</t>
        </is>
      </c>
      <c r="E59" s="4" t="inlineStr">
        <is>
          <t>(no statement found)</t>
        </is>
      </c>
      <c r="F59" s="4" t="inlineStr">
        <is>
          <t>https://www.physics.columbia.edu/content/applying-columbia-physics-graduate-program</t>
        </is>
      </c>
      <c r="G59" s="4" t="inlineStr"/>
      <c r="H59" s="4" t="inlineStr">
        <is>
          <t>2026-10-21</t>
        </is>
      </c>
    </row>
    <row r="60">
      <c r="A60" s="4" t="inlineStr">
        <is>
          <t>Columbia University</t>
        </is>
      </c>
      <c r="B60" s="4" t="inlineStr">
        <is>
          <t>PhD funding</t>
        </is>
      </c>
      <c r="C60" s="4" t="inlineStr">
        <is>
          <t>Guaranteed</t>
        </is>
      </c>
      <c r="D60" s="4" t="inlineStr">
        <is>
          <t>Prevailing stipend plus tuition and fees for six years in good standing</t>
        </is>
      </c>
      <c r="E60" s="4" t="inlineStr">
        <is>
          <t>Doctoral students normally receive the annual prevailing stipend (or salary, in the case of student officers) and appropriate tuition, health fees, University service and support fees, and if applicable, international fees, for six years</t>
        </is>
      </c>
      <c r="F60" s="4" t="inlineStr">
        <is>
          <t>https://www.physics.columbia.edu/content/applying-columbia-physics-graduate-program</t>
        </is>
      </c>
      <c r="G60" s="4" t="inlineStr"/>
      <c r="H60" s="4" t="inlineStr">
        <is>
          <t>2026-10-21</t>
        </is>
      </c>
    </row>
    <row r="61">
      <c r="A61" s="4" t="inlineStr">
        <is>
          <t>Columbia University</t>
        </is>
      </c>
      <c r="B61" s="4" t="inlineStr">
        <is>
          <t>Entry route</t>
        </is>
      </c>
      <c r="C61" s="4" t="inlineStr">
        <is>
          <t>Not stated</t>
        </is>
      </c>
      <c r="D61" s="4" t="inlineStr">
        <is>
          <t>Not stated on the pages checked</t>
        </is>
      </c>
      <c r="E61" s="4" t="inlineStr">
        <is>
          <t>(no statement found)</t>
        </is>
      </c>
      <c r="F61" s="4" t="inlineStr">
        <is>
          <t>https://www.physics.columbia.edu/content/applying-columbia-physics-graduate-program</t>
        </is>
      </c>
      <c r="G61" s="4" t="inlineStr"/>
      <c r="H61" s="4" t="inlineStr">
        <is>
          <t>2026-10-21</t>
        </is>
      </c>
    </row>
    <row r="62">
      <c r="A62" s="4" t="inlineStr">
        <is>
          <t>Cornell University</t>
        </is>
      </c>
      <c r="B62" s="4" t="inlineStr">
        <is>
          <t>Deadline (2027 entry)</t>
        </is>
      </c>
      <c r="C62" s="4" t="inlineStr">
        <is>
          <t>2026-12-15</t>
        </is>
      </c>
      <c r="D62" s="4" t="inlineStr">
        <is>
          <t>December 15: all materials incl. test scores must be received. Year inferred.</t>
        </is>
      </c>
      <c r="E62" s="4" t="inlineStr">
        <is>
          <t>All required application materials and supporting documents must be submitted online and received by Cornell no later than December 15.</t>
        </is>
      </c>
      <c r="F62" s="4" t="inlineStr">
        <is>
          <t>https://physics.cornell.edu/prospective-graduate-students</t>
        </is>
      </c>
      <c r="G62" s="4" t="inlineStr">
        <is>
          <t>year inferred</t>
        </is>
      </c>
      <c r="H62" s="4" t="inlineStr">
        <is>
          <t>2026-10-21</t>
        </is>
      </c>
    </row>
    <row r="63">
      <c r="A63" s="4" t="inlineStr">
        <is>
          <t>Cornell University</t>
        </is>
      </c>
      <c r="B63" s="4" t="inlineStr">
        <is>
          <t>Application fee</t>
        </is>
      </c>
      <c r="C63" s="4" t="inlineStr">
        <is>
          <t>105 USD</t>
        </is>
      </c>
      <c r="D63" s="4" t="inlineStr">
        <is>
          <t>USD 105</t>
        </is>
      </c>
      <c r="E63" s="4" t="inlineStr">
        <is>
          <t>The application fee is $105.</t>
        </is>
      </c>
      <c r="F63" s="4" t="inlineStr">
        <is>
          <t>https://physics.cornell.edu/prospective-graduate-students</t>
        </is>
      </c>
      <c r="G63" s="4" t="inlineStr"/>
      <c r="H63" s="4" t="inlineStr">
        <is>
          <t>2026-10-21</t>
        </is>
      </c>
    </row>
    <row r="64">
      <c r="A64" s="4" t="inlineStr">
        <is>
          <t>Cornell University</t>
        </is>
      </c>
      <c r="B64" s="4" t="inlineStr">
        <is>
          <t>Intl fee waiver</t>
        </is>
      </c>
      <c r="C64" s="4" t="inlineStr">
        <is>
          <t>Available</t>
        </is>
      </c>
      <c r="D64" s="4" t="inlineStr">
        <is>
          <t>Can be requested for financial hardship or extenuating circumstances (Graduate School criteria)</t>
        </is>
      </c>
      <c r="E64" s="4" t="inlineStr">
        <is>
          <t>An application fee waiver can be requested in the event of financial hardship or extenuating circumstances.</t>
        </is>
      </c>
      <c r="F64" s="4" t="inlineStr">
        <is>
          <t>https://physics.cornell.edu/prospective-graduate-students</t>
        </is>
      </c>
      <c r="G64" s="4" t="inlineStr"/>
      <c r="H64" s="4" t="inlineStr">
        <is>
          <t>2026-10-21</t>
        </is>
      </c>
    </row>
    <row r="65">
      <c r="A65" s="4" t="inlineStr">
        <is>
          <t>Cornell University</t>
        </is>
      </c>
      <c r="B65" s="4" t="inlineStr">
        <is>
          <t>GRE General</t>
        </is>
      </c>
      <c r="C65" s="4" t="inlineStr">
        <is>
          <t>Not stated</t>
        </is>
      </c>
      <c r="D65" s="4" t="inlineStr">
        <is>
          <t>Only the Physics GRE policy is stated</t>
        </is>
      </c>
      <c r="E65" s="4" t="inlineStr">
        <is>
          <t>(no statement found)</t>
        </is>
      </c>
      <c r="F65" s="4" t="inlineStr">
        <is>
          <t>https://physics.cornell.edu/prospective-graduate-students</t>
        </is>
      </c>
      <c r="G65" s="4" t="inlineStr"/>
      <c r="H65" s="4" t="inlineStr">
        <is>
          <t>2026-10-21</t>
        </is>
      </c>
    </row>
    <row r="66">
      <c r="A66" s="4" t="inlineStr">
        <is>
          <t>Cornell University</t>
        </is>
      </c>
      <c r="B66" s="4" t="inlineStr">
        <is>
          <t>Physics GRE</t>
        </is>
      </c>
      <c r="C66" s="4" t="inlineStr">
        <is>
          <t>Required</t>
        </is>
      </c>
      <c r="D66" s="4" t="inlineStr">
        <is>
          <t>REQUIRED for theory applicants (theoretical astro, particle, condensed matter); theory applications without it cannot be considered</t>
        </is>
      </c>
      <c r="E66" s="4" t="inlineStr">
        <is>
          <t>The physics GRE is required for applicants with interests in theoretical physics, which includes theoretical astrophysics, theoretical elementary particle physics, and theoretical condensed matter physics. Theory applications without a physics GRE score cannot be considered for admission.</t>
        </is>
      </c>
      <c r="F66" s="4" t="inlineStr">
        <is>
          <t>https://physics.cornell.edu/prospective-graduate-students</t>
        </is>
      </c>
      <c r="G66" s="4" t="inlineStr">
        <is>
          <t>theory applicants</t>
        </is>
      </c>
      <c r="H66" s="4" t="inlineStr">
        <is>
          <t>2026-10-21</t>
        </is>
      </c>
    </row>
    <row r="67">
      <c r="A67" s="4" t="inlineStr">
        <is>
          <t>Cornell University</t>
        </is>
      </c>
      <c r="B67" s="4" t="inlineStr">
        <is>
          <t>TOEFL minimum</t>
        </is>
      </c>
      <c r="C67" s="4" t="inlineStr">
        <is>
          <t>Sections</t>
        </is>
      </c>
      <c r="D67" s="4" t="inlineStr">
        <is>
          <t>No overall minimum stated; section minimums Speaking 23, Reading 20, Listening 15, Writing 20 (pre-2026) or 4.5/4/3.5/4 (new scale)</t>
        </is>
      </c>
      <c r="E67" s="4" t="inlineStr">
        <is>
          <t>The minimum TOEFL iBT score requirements for exams taken before January 2026 are: Speaking: 23, Reading: 20, Listening: 15, Writing: 20.</t>
        </is>
      </c>
      <c r="F67" s="4" t="inlineStr">
        <is>
          <t>https://physics.cornell.edu/prospective-graduate-students</t>
        </is>
      </c>
      <c r="G67" s="4" t="inlineStr"/>
      <c r="H67" s="4" t="inlineStr">
        <is>
          <t>2026-10-21</t>
        </is>
      </c>
    </row>
    <row r="68">
      <c r="A68" s="4" t="inlineStr">
        <is>
          <t>Cornell University</t>
        </is>
      </c>
      <c r="B68" s="4" t="inlineStr">
        <is>
          <t>English-test waiver (English-medium degree)</t>
        </is>
      </c>
      <c r="C68" s="4" t="inlineStr">
        <is>
          <t>Not stated</t>
        </is>
      </c>
      <c r="D68" s="4" t="inlineStr">
        <is>
          <t>Standing exemptions on the Graduate School site (not checked)</t>
        </is>
      </c>
      <c r="E68" s="4" t="inlineStr">
        <is>
          <t>Applicants may be exempt from submitting TOEFL/IELTS scores if they meet one of the following standing exemptions outlined here.</t>
        </is>
      </c>
      <c r="F68" s="4" t="inlineStr">
        <is>
          <t>https://physics.cornell.edu/prospective-graduate-students</t>
        </is>
      </c>
      <c r="G68" s="4" t="inlineStr"/>
      <c r="H68" s="4" t="inlineStr">
        <is>
          <t>2026-10-21</t>
        </is>
      </c>
    </row>
    <row r="69">
      <c r="A69" s="4" t="inlineStr">
        <is>
          <t>Cornell University</t>
        </is>
      </c>
      <c r="B69" s="4" t="inlineStr">
        <is>
          <t>Supervisor before admission</t>
        </is>
      </c>
      <c r="C69" s="4" t="inlineStr">
        <is>
          <t>Not stated</t>
        </is>
      </c>
      <c r="D69" s="4" t="inlineStr">
        <is>
          <t>No pre-application supervisor requirement mentioned</t>
        </is>
      </c>
      <c r="E69" s="4" t="inlineStr">
        <is>
          <t>(no statement found)</t>
        </is>
      </c>
      <c r="F69" s="4" t="inlineStr">
        <is>
          <t>https://physics.cornell.edu/prospective-graduate-students</t>
        </is>
      </c>
      <c r="G69" s="4" t="inlineStr"/>
      <c r="H69" s="4" t="inlineStr">
        <is>
          <t>2026-10-21</t>
        </is>
      </c>
    </row>
    <row r="70">
      <c r="A70" s="4" t="inlineStr">
        <is>
          <t>Cornell University</t>
        </is>
      </c>
      <c r="B70" s="4" t="inlineStr">
        <is>
          <t>PhD funding</t>
        </is>
      </c>
      <c r="C70" s="4" t="inlineStr">
        <is>
          <t>Guaranteed</t>
        </is>
      </c>
      <c r="D70" s="4" t="inlineStr">
        <is>
          <t>6 years of full support in good standing (fellowships, TA, RA)</t>
        </is>
      </c>
      <c r="E70" s="4" t="inlineStr">
        <is>
          <t>We provide 6 years of full financial support for all graduate students in good academic standing.</t>
        </is>
      </c>
      <c r="F70" s="4" t="inlineStr">
        <is>
          <t>https://physics.cornell.edu/prospective-graduate-students</t>
        </is>
      </c>
      <c r="G70" s="4" t="inlineStr"/>
      <c r="H70" s="4" t="inlineStr">
        <is>
          <t>2026-10-21</t>
        </is>
      </c>
    </row>
    <row r="71">
      <c r="A71" s="4" t="inlineStr">
        <is>
          <t>Cornell University</t>
        </is>
      </c>
      <c r="B71" s="4" t="inlineStr">
        <is>
          <t>Entry route</t>
        </is>
      </c>
      <c r="C71" s="4" t="inlineStr">
        <is>
          <t>Direct from bachelor's</t>
        </is>
      </c>
      <c r="D71" s="4" t="inlineStr">
        <is>
          <t>Bachelor's (or equivalent international degree) required; terminal master's applicants fully considered</t>
        </is>
      </c>
      <c r="E71" s="4" t="inlineStr">
        <is>
          <t>A Bachelor's degree is required at the time of matriculation. | Applicants who have completed or are finishing a terminal Master's degree program will be given full consideration.</t>
        </is>
      </c>
      <c r="F71" s="4" t="inlineStr">
        <is>
          <t>https://physics.cornell.edu/prospective-graduate-students</t>
        </is>
      </c>
      <c r="G71" s="4" t="inlineStr"/>
      <c r="H71" s="4" t="inlineStr">
        <is>
          <t>2026-10-21</t>
        </is>
      </c>
    </row>
    <row r="72">
      <c r="A72" s="4" t="inlineStr">
        <is>
          <t>Dalhousie University</t>
        </is>
      </c>
      <c r="B72" s="4" t="inlineStr">
        <is>
          <t>Deadline (2027 entry)</t>
        </is>
      </c>
      <c r="C72" s="4" t="inlineStr">
        <is>
          <t>2027-04-01</t>
        </is>
      </c>
      <c r="D72" s="4" t="inlineStr">
        <is>
          <t>Formal application: April 1 for non-Canadian applicants for September admission (FGS general deadline; Canadians June 1). Free department pre-application first, reviewed September 1 to April 30, so start well before. Year inferred for September 2027.</t>
        </is>
      </c>
      <c r="E72" s="4" t="inlineStr">
        <is>
          <t>For September admission: | June 1 (Canadian applicants), April 1 (non-Canadian applicants)  ||  Pre-applications are reviewed from September 1 to April 30. | Formal application deadlines are set by the Faculty of Graduate Studies and are earlier for international applicants (https://www.dal.ca/faculty/science/physics/graduate/apply.html)</t>
        </is>
      </c>
      <c r="F72" s="4" t="inlineStr">
        <is>
          <t>https://www.dal.ca/faculty/gradstudies/apply-graduate-studies/how-to-apply.html</t>
        </is>
      </c>
      <c r="G72" s="4" t="inlineStr">
        <is>
          <t>year inferred</t>
        </is>
      </c>
      <c r="H72" s="4" t="inlineStr">
        <is>
          <t>2026-10-21</t>
        </is>
      </c>
    </row>
    <row r="73">
      <c r="A73" s="4" t="inlineStr">
        <is>
          <t>Dalhousie University</t>
        </is>
      </c>
      <c r="B73" s="4" t="inlineStr">
        <is>
          <t>Application fee</t>
        </is>
      </c>
      <c r="C73" s="4" t="inlineStr">
        <is>
          <t>115 CAD</t>
        </is>
      </c>
      <c r="D73" s="4" t="inlineStr">
        <is>
          <t>CAD 115 for the formal FGS application (the department pre-application is free)</t>
        </is>
      </c>
      <c r="E73" s="4" t="inlineStr">
        <is>
          <t>To apply, complete the online application form and pay the $115 application fee.  ||  There is an application fee for this step. (https://www.dal.ca/faculty/science/physics/graduate/apply.html)</t>
        </is>
      </c>
      <c r="F73" s="4" t="inlineStr">
        <is>
          <t>https://www.dal.ca/faculty/gradstudies/apply-graduate-studies/how-to-apply.html</t>
        </is>
      </c>
      <c r="G73" s="4" t="inlineStr"/>
      <c r="H73" s="4" t="inlineStr">
        <is>
          <t>2026-10-21</t>
        </is>
      </c>
    </row>
    <row r="74">
      <c r="A74" s="4" t="inlineStr">
        <is>
          <t>Dalhousie University</t>
        </is>
      </c>
      <c r="B74" s="4" t="inlineStr">
        <is>
          <t>Intl fee waiver</t>
        </is>
      </c>
      <c r="C74" s="4" t="inlineStr">
        <is>
          <t>Not stated</t>
        </is>
      </c>
      <c r="D74" s="4" t="inlineStr">
        <is>
          <t>Not stated on the page checked</t>
        </is>
      </c>
      <c r="E74" s="4" t="inlineStr">
        <is>
          <t>(no statement found)</t>
        </is>
      </c>
      <c r="F74" s="4" t="inlineStr">
        <is>
          <t>https://www.dal.ca/faculty/gradstudies/apply-graduate-studies/how-to-apply.html</t>
        </is>
      </c>
      <c r="G74" s="4" t="inlineStr"/>
      <c r="H74" s="4" t="inlineStr">
        <is>
          <t>2026-10-21</t>
        </is>
      </c>
    </row>
    <row r="75">
      <c r="A75" s="4" t="inlineStr">
        <is>
          <t>Dalhousie University</t>
        </is>
      </c>
      <c r="B75" s="4" t="inlineStr">
        <is>
          <t>GRE General</t>
        </is>
      </c>
      <c r="C75" s="4" t="inlineStr">
        <is>
          <t>Not required</t>
        </is>
      </c>
      <c r="D75" s="4" t="inlineStr">
        <is>
          <t>GRE not required</t>
        </is>
      </c>
      <c r="E75" s="4" t="inlineStr">
        <is>
          <t>No GRE: you don't need to take the GRE (Graduate Record Examination).</t>
        </is>
      </c>
      <c r="F75" s="4" t="inlineStr">
        <is>
          <t>https://www.dal.ca/faculty/science/physics/graduate/apply.html</t>
        </is>
      </c>
      <c r="G75" s="4" t="inlineStr"/>
      <c r="H75" s="4" t="inlineStr">
        <is>
          <t>2026-10-21</t>
        </is>
      </c>
    </row>
    <row r="76">
      <c r="A76" s="4" t="inlineStr">
        <is>
          <t>Dalhousie University</t>
        </is>
      </c>
      <c r="B76" s="4" t="inlineStr">
        <is>
          <t>Physics GRE</t>
        </is>
      </c>
      <c r="C76" s="4" t="inlineStr">
        <is>
          <t>Not required</t>
        </is>
      </c>
      <c r="D76" s="4" t="inlineStr">
        <is>
          <t>GRE not required (no subject-test requirement listed)</t>
        </is>
      </c>
      <c r="E76" s="4" t="inlineStr">
        <is>
          <t>No GRE: you don't need to take the GRE (Graduate Record Examination).</t>
        </is>
      </c>
      <c r="F76" s="4" t="inlineStr">
        <is>
          <t>https://www.dal.ca/faculty/science/physics/graduate/apply.html</t>
        </is>
      </c>
      <c r="G76" s="4" t="inlineStr"/>
      <c r="H76" s="4" t="inlineStr">
        <is>
          <t>2026-10-21</t>
        </is>
      </c>
    </row>
    <row r="77">
      <c r="A77" s="4" t="inlineStr">
        <is>
          <t>Dalhousie University</t>
        </is>
      </c>
      <c r="B77" s="4" t="inlineStr">
        <is>
          <t>TOEFL minimum</t>
        </is>
      </c>
      <c r="C77" s="4" t="inlineStr">
        <is>
          <t>92</t>
        </is>
      </c>
      <c r="D77" s="4" t="inlineStr">
        <is>
          <t>TOEFL iBT 92 (tests before Jan 21, 2026); 4.5 on the new 1-6 scale for later tests; IELTS 7</t>
        </is>
      </c>
      <c r="E77" s="4" t="inlineStr">
        <is>
          <t>For tests taken before January 21, 2026 | Minimum acceptable score: 92 | For tests taken on or after January 21, 2026, only the 1-6 score scale* is considered: Overall score of at least 4.5. | IELTS (Academic, in-person and online) | Minimum acceptable score: 7</t>
        </is>
      </c>
      <c r="F77" s="4" t="inlineStr">
        <is>
          <t>https://www.dal.ca/faculty/gradstudies/apply-graduate-studies/admission-requirements/english-requirements.html</t>
        </is>
      </c>
      <c r="G77" s="4" t="inlineStr"/>
      <c r="H77" s="4" t="inlineStr">
        <is>
          <t>2026-10-21</t>
        </is>
      </c>
    </row>
    <row r="78">
      <c r="A78" s="4" t="inlineStr">
        <is>
          <t>Dalhousie University</t>
        </is>
      </c>
      <c r="B78" s="4" t="inlineStr">
        <is>
          <t>English-test waiver (English-medium degree)</t>
        </is>
      </c>
      <c r="C78" s="4" t="inlineStr">
        <is>
          <t>Conditional</t>
        </is>
      </c>
      <c r="D78" s="4" t="inlineStr">
        <is>
          <t>Waiver can be requested (not automatic) if your degree is from a recognized university with English as the language of instruction in a country where English is an official language; English is an official language of India, but confirm the waiver with the program</t>
        </is>
      </c>
      <c r="E78" s="4" t="inlineStr">
        <is>
          <t>It is possible to have this requirement waived if you completed your degree at a recognized university where the language of instruction is English and in a country where English is one of the official languages. You will be able to request this waiver during the application process.</t>
        </is>
      </c>
      <c r="F78" s="4" t="inlineStr">
        <is>
          <t>https://www.dal.ca/faculty/gradstudies/apply-graduate-studies/admission-requirements/english-requirements.html</t>
        </is>
      </c>
      <c r="G78" s="4" t="inlineStr"/>
      <c r="H78" s="4" t="inlineStr">
        <is>
          <t>2026-10-21</t>
        </is>
      </c>
    </row>
    <row r="79">
      <c r="A79" s="4" t="inlineStr">
        <is>
          <t>Dalhousie University</t>
        </is>
      </c>
      <c r="B79" s="4" t="inlineStr">
        <is>
          <t>Supervisor before admission</t>
        </is>
      </c>
      <c r="C79" s="4" t="inlineStr">
        <is>
          <t>Required</t>
        </is>
      </c>
      <c r="D79" s="4" t="inlineStr">
        <is>
          <t>Admission depends on finding a supervisor through the free pre-application/interview; the formal application is submitted only with a supervisor's support and names the supervisor</t>
        </is>
      </c>
      <c r="E79" s="4" t="inlineStr">
        <is>
          <t>In our MSc and PhD programs, you do your research with a faculty supervisor, so admission depends on finding one. | With a supervisor's support, you then submit a formal application to Dalhousie through the Faculty of Graduate Studies.</t>
        </is>
      </c>
      <c r="F79" s="4" t="inlineStr">
        <is>
          <t>https://www.dal.ca/faculty/science/physics/graduate/apply.html</t>
        </is>
      </c>
      <c r="G79" s="4" t="inlineStr"/>
      <c r="H79" s="4" t="inlineStr">
        <is>
          <t>2026-10-21</t>
        </is>
      </c>
    </row>
    <row r="80">
      <c r="A80" s="4" t="inlineStr">
        <is>
          <t>Dalhousie University</t>
        </is>
      </c>
      <c r="B80" s="4" t="inlineStr">
        <is>
          <t>PhD funding</t>
        </is>
      </c>
      <c r="C80" s="4" t="inlineStr">
        <is>
          <t>Guaranteed</t>
        </is>
      </c>
      <c r="D80" s="4" t="inlineStr">
        <is>
          <t>Every full-time MSc/PhD student funded; for students of primary-appointment faculty, guaranteed at least CAD 2,000/month take-home on average (CAD 24,000/yr after tuition) and CAD 33,000/yr total; PhD support normally 4 years; internationals funded on the same terms</t>
        </is>
      </c>
      <c r="E80" s="4" t="inlineStr">
        <is>
          <t>All full-time students in our MSc and PhD programs, in both Physics and Medical Physics, receive financial support. | For students supervised by faculty with a primary appointment in the Department, in either program, we guarantee: | at least $2,000 per month take-home on average ($24,000 per year), after tuition;  ||  Funding: you're funded like everyone else. Every full-time graduate student receives financial support, whatever their citizenship (https://www.dal.ca/faculty/science/physics/graduate/international.html)</t>
        </is>
      </c>
      <c r="F80" s="4" t="inlineStr">
        <is>
          <t>https://www.dal.ca/faculty/science/physics/graduate/funding.html</t>
        </is>
      </c>
      <c r="G80" s="4" t="inlineStr"/>
      <c r="H80" s="4" t="inlineStr">
        <is>
          <t>2026-10-21</t>
        </is>
      </c>
    </row>
    <row r="81">
      <c r="A81" s="4" t="inlineStr">
        <is>
          <t>Dalhousie University</t>
        </is>
      </c>
      <c r="B81" s="4" t="inlineStr">
        <is>
          <t>Entry route</t>
        </is>
      </c>
      <c r="C81" s="4" t="inlineStr">
        <is>
          <t>Either</t>
        </is>
      </c>
      <c r="D81" s="4" t="inlineStr">
        <is>
          <t>PhD normally after a thesis-based master's, but Physics allows direct entry from a bachelor's with supervisor agreement (typically 5 years, 7 courses); MSc-to-PhD transfer after year 1</t>
        </is>
      </c>
      <c r="E81" s="4" t="inlineStr">
        <is>
          <t>PhD: a thesis-based master's degree. You can also go directly from a bachelor's degree to the PhD, with your supervisor's agreement.  ||  In Physics, you can also enter the PhD directly from a bachelor's degree (https://www.dal.ca/faculty/science/physics/graduate/degrees.html)</t>
        </is>
      </c>
      <c r="F81" s="4" t="inlineStr">
        <is>
          <t>https://www.dal.ca/faculty/science/physics/graduate/apply.html</t>
        </is>
      </c>
      <c r="G81" s="4" t="inlineStr"/>
      <c r="H81" s="4" t="inlineStr">
        <is>
          <t>2026-10-21</t>
        </is>
      </c>
    </row>
    <row r="82">
      <c r="A82" s="4" t="inlineStr">
        <is>
          <t>Delft University of Technology</t>
        </is>
      </c>
      <c r="B82" s="4" t="inlineStr">
        <is>
          <t>Deadline (2027 entry)</t>
        </is>
      </c>
      <c r="C82" s="4" t="inlineStr">
        <is>
          <t>Per position</t>
        </is>
      </c>
      <c r="D82" s="4" t="inlineStr">
        <is>
          <t>No central deadline: apply to a specific advertised PhD position (each vacancy has its own deadline)</t>
        </is>
      </c>
      <c r="E82" s="4" t="inlineStr">
        <is>
          <t>To become a PhD candidate you can apply to a specific PhD position that can be found on our vacancy website.  ||  If you are interested in a PhD project at the faculty of Applied Sciences, we advise you to keep a close eye on the vacancy website where the latest selection of PhD vacancies can be found. (https://www.tudelft.nl/en/faculty-of-applied-sciences/research/phd)</t>
        </is>
      </c>
      <c r="F82" s="4" t="inlineStr">
        <is>
          <t>https://www.tudelft.nl/en/education/programmes/phd/phd-admission</t>
        </is>
      </c>
      <c r="G82" s="4" t="inlineStr"/>
      <c r="H82" s="4" t="inlineStr">
        <is>
          <t>2026-10-21</t>
        </is>
      </c>
    </row>
    <row r="83">
      <c r="A83" s="4" t="inlineStr">
        <is>
          <t>Delft University of Technology</t>
        </is>
      </c>
      <c r="B83" s="4" t="inlineStr">
        <is>
          <t>Application fee</t>
        </is>
      </c>
      <c r="C83" s="4" t="inlineStr">
        <is>
          <t>Not stated</t>
        </is>
      </c>
      <c r="D83" s="4" t="inlineStr">
        <is>
          <t>Not stated on the pages checked</t>
        </is>
      </c>
      <c r="E83" s="4" t="inlineStr">
        <is>
          <t>(no statement found)</t>
        </is>
      </c>
      <c r="F83" s="4" t="inlineStr">
        <is>
          <t>https://www.tudelft.nl/en/education/programmes/phd/phd-admission</t>
        </is>
      </c>
      <c r="G83" s="4" t="inlineStr"/>
      <c r="H83" s="4" t="inlineStr">
        <is>
          <t>2026-10-21</t>
        </is>
      </c>
    </row>
    <row r="84">
      <c r="A84" s="4" t="inlineStr">
        <is>
          <t>Delft University of Technology</t>
        </is>
      </c>
      <c r="B84" s="4" t="inlineStr">
        <is>
          <t>Intl fee waiver</t>
        </is>
      </c>
      <c r="C84" s="4" t="inlineStr">
        <is>
          <t>Not stated</t>
        </is>
      </c>
      <c r="D84" s="4" t="inlineStr">
        <is>
          <t>Not stated on the pages checked</t>
        </is>
      </c>
      <c r="E84" s="4" t="inlineStr">
        <is>
          <t>(no statement found)</t>
        </is>
      </c>
      <c r="F84" s="4" t="inlineStr">
        <is>
          <t>https://www.tudelft.nl/en/education/programmes/phd/phd-admission</t>
        </is>
      </c>
      <c r="G84" s="4" t="inlineStr"/>
      <c r="H84" s="4" t="inlineStr">
        <is>
          <t>2026-10-21</t>
        </is>
      </c>
    </row>
    <row r="85">
      <c r="A85" s="4" t="inlineStr">
        <is>
          <t>Delft University of Technology</t>
        </is>
      </c>
      <c r="B85" s="4" t="inlineStr">
        <is>
          <t>GRE General</t>
        </is>
      </c>
      <c r="C85" s="4" t="inlineStr">
        <is>
          <t>Not stated</t>
        </is>
      </c>
      <c r="D85" s="4" t="inlineStr">
        <is>
          <t>Not stated on the page checked</t>
        </is>
      </c>
      <c r="E85" s="4" t="inlineStr">
        <is>
          <t>(no statement found)</t>
        </is>
      </c>
      <c r="F85" s="4" t="inlineStr">
        <is>
          <t>https://www.tudelft.nl/en/education/programmes/phd/phd-admission</t>
        </is>
      </c>
      <c r="G85" s="4" t="inlineStr"/>
      <c r="H85" s="4" t="inlineStr">
        <is>
          <t>2026-10-21</t>
        </is>
      </c>
    </row>
    <row r="86">
      <c r="A86" s="4" t="inlineStr">
        <is>
          <t>Delft University of Technology</t>
        </is>
      </c>
      <c r="B86" s="4" t="inlineStr">
        <is>
          <t>Physics GRE</t>
        </is>
      </c>
      <c r="C86" s="4" t="inlineStr">
        <is>
          <t>Not stated</t>
        </is>
      </c>
      <c r="D86" s="4" t="inlineStr">
        <is>
          <t>Not stated on the page checked</t>
        </is>
      </c>
      <c r="E86" s="4" t="inlineStr">
        <is>
          <t>(no statement found)</t>
        </is>
      </c>
      <c r="F86" s="4" t="inlineStr">
        <is>
          <t>https://www.tudelft.nl/en/education/programmes/phd/phd-admission</t>
        </is>
      </c>
      <c r="G86" s="4" t="inlineStr"/>
      <c r="H86" s="4" t="inlineStr">
        <is>
          <t>2026-10-21</t>
        </is>
      </c>
    </row>
    <row r="87">
      <c r="A87" s="4" t="inlineStr">
        <is>
          <t>Delft University of Technology</t>
        </is>
      </c>
      <c r="B87" s="4" t="inlineStr">
        <is>
          <t>TOEFL minimum</t>
        </is>
      </c>
      <c r="C87" s="4" t="inlineStr">
        <is>
          <t>100</t>
        </is>
      </c>
      <c r="D87" s="4" t="inlineStr">
        <is>
          <t>TOEFL iBT 100 with at least 22 per section (tests before 21 Jan 2026) or 5 overall with 4.5 per section on the new scale; IELTS Academic 7.0 with 6.5 per section. Scores must be under two years old and are requested later in selection</t>
        </is>
      </c>
      <c r="E87" s="4" t="inlineStr">
        <is>
          <t>TOEFL test reports obtained from January 21, 2026: A TOEFL iBT with an overall band score of 5 and a minimum score of 4.5 for each section. | TOEFL test reports obtained before January 21, 2026: A TOEFL iBT with an overall band score of at least 100 and a minimum score of 22 for each section. | An IELTS (academic version) with an overall band score of at least 7.0 and a minimum of 6.5 for each section | These test results must have been awarded within the last two years | You do not need to present the test results as part of your application; these results will be requested at a later stage during the selection procedure.</t>
        </is>
      </c>
      <c r="F87" s="4" t="inlineStr">
        <is>
          <t>https://www.tudelft.nl/en/education/programmes/phd/phd-admission</t>
        </is>
      </c>
      <c r="G87" s="4" t="inlineStr"/>
      <c r="H87" s="4" t="inlineStr">
        <is>
          <t>2026-10-21</t>
        </is>
      </c>
    </row>
    <row r="88">
      <c r="A88" s="4" t="inlineStr">
        <is>
          <t>Delft University of Technology</t>
        </is>
      </c>
      <c r="B88" s="4" t="inlineStr">
        <is>
          <t>English-test waiver (English-medium degree)</t>
        </is>
      </c>
      <c r="C88" s="4" t="inlineStr">
        <is>
          <t>Yes</t>
        </is>
      </c>
      <c r="D88" s="4" t="inlineStr">
        <is>
          <t>In principle exempt with an English-taught master's degree; if your English is judged insufficient during selection you may be asked to take a placement test at TU Delft</t>
        </is>
      </c>
      <c r="E88" s="4" t="inlineStr">
        <is>
          <t>Native speakers will be exempt from the English test requirement, as well as, in principle, non-native applicants who have obtained an English-taught Master’s degree. | If during the selection process it is deemed that the English proficiency of the candidate with an English-taught Master’s degree does not meet the requirements, they may also be asked to do a placement test.</t>
        </is>
      </c>
      <c r="F88" s="4" t="inlineStr">
        <is>
          <t>https://www.tudelft.nl/en/education/programmes/phd/phd-admission</t>
        </is>
      </c>
      <c r="G88" s="4" t="inlineStr"/>
      <c r="H88" s="4" t="inlineStr">
        <is>
          <t>2026-10-21</t>
        </is>
      </c>
    </row>
    <row r="89">
      <c r="A89" s="4" t="inlineStr">
        <is>
          <t>Delft University of Technology</t>
        </is>
      </c>
      <c r="B89" s="4" t="inlineStr">
        <is>
          <t>Supervisor before admission</t>
        </is>
      </c>
      <c r="C89" s="4" t="inlineStr">
        <is>
          <t>Required</t>
        </is>
      </c>
      <c r="D89" s="4" t="inlineStr">
        <is>
          <t>You apply to a specific position and are employed in your supervisor's department; the application process includes a conversation with the professor</t>
        </is>
      </c>
      <c r="E89" s="4" t="inlineStr">
        <is>
          <t>Conversation with professor or mentor.  ||  You are employed on a four-year contract at your supervisor’s department. (https://www.tudelft.nl/en/education/programmes/phd/phd-admission/fees-and-funding)</t>
        </is>
      </c>
      <c r="F89" s="4" t="inlineStr">
        <is>
          <t>https://www.tudelft.nl/en/about-tu-delft/working-at-tu-delft/phd</t>
        </is>
      </c>
      <c r="G89" s="4" t="inlineStr"/>
      <c r="H89" s="4" t="inlineStr">
        <is>
          <t>2026-10-21</t>
        </is>
      </c>
    </row>
    <row r="90">
      <c r="A90" s="4" t="inlineStr">
        <is>
          <t>Delft University of Technology</t>
        </is>
      </c>
      <c r="B90" s="4" t="inlineStr">
        <is>
          <t>PhD funding</t>
        </is>
      </c>
      <c r="C90" s="4" t="inlineStr">
        <is>
          <t>Typical</t>
        </is>
      </c>
      <c r="D90" s="4" t="inlineStr">
        <is>
          <t>Regular PhD positions are four-year employment contracts with a salary under the Dutch universities' collective labour agreement; if no position is available you must find your own scholarship or grant</t>
        </is>
      </c>
      <c r="E90" s="4" t="inlineStr">
        <is>
          <t>Regular PhD position | You are employed on a four-year contract at your supervisor’s department. | If there are no PhD positions available in your area of interest, you will have to find your own funding.  ||  If you are accepted for a PhD vacancy you will receive a salary in accordance with the Collective Labour Agreement for Dutch universities (https://www.tudelft.nl/en/about-tu-delft/working-at-tu-delft/phd)</t>
        </is>
      </c>
      <c r="F90" s="4" t="inlineStr">
        <is>
          <t>https://www.tudelft.nl/en/education/programmes/phd/phd-admission/fees-and-funding</t>
        </is>
      </c>
      <c r="G90" s="4" t="inlineStr"/>
      <c r="H90" s="4" t="inlineStr">
        <is>
          <t>2026-10-21</t>
        </is>
      </c>
    </row>
    <row r="91">
      <c r="A91" s="4" t="inlineStr">
        <is>
          <t>Delft University of Technology</t>
        </is>
      </c>
      <c r="B91" s="4" t="inlineStr">
        <is>
          <t>Entry route</t>
        </is>
      </c>
      <c r="C91" s="4" t="inlineStr">
        <is>
          <t>Master's usually required</t>
        </is>
      </c>
      <c r="D91" s="4" t="inlineStr">
        <is>
          <t>A Dutch master's degree or foreign equivalent in a field relevant to the PhD research</t>
        </is>
      </c>
      <c r="E91" s="4" t="inlineStr">
        <is>
          <t>Have a Dutch master’s degree (or a foreign equivalent)  ||  You have completed a Master’s degree in one of the fields relevant to PhD research. (https://www.tudelft.nl/en/about-tu-delft/working-at-tu-delft/phd)</t>
        </is>
      </c>
      <c r="F91" s="4" t="inlineStr">
        <is>
          <t>https://www.tudelft.nl/en/education/programmes/phd/phd-admission</t>
        </is>
      </c>
      <c r="G91" s="4" t="inlineStr"/>
      <c r="H91" s="4" t="inlineStr">
        <is>
          <t>2026-10-21</t>
        </is>
      </c>
    </row>
    <row r="92">
      <c r="A92" s="4" t="inlineStr">
        <is>
          <t>Durham University</t>
        </is>
      </c>
      <c r="B92" s="4" t="inlineStr">
        <is>
          <t>Deadline (2027 entry)</t>
        </is>
      </c>
      <c r="C92" s="4" t="inlineStr">
        <is>
          <t>2026-12-15</t>
        </is>
      </c>
      <c r="D92" s="4" t="inlineStr">
        <is>
          <t>Departmental deadline Dec 15, 2026: applications by then get full consideration for all scholarships and funding. Later applications are still considered, but may be eligible only for some scholarships. There is no set deadline for admission itself.</t>
        </is>
      </c>
      <c r="E92" s="4" t="inlineStr">
        <is>
          <t>We strongly encourage applicants to submit their application by 15 December 2026, which is the departmental deadline. | Applications submitted after the deadline will still be considered; however, eligibility may be limited to specific scholarships | There are no set deadlines for applications to the Postgraduate degrees in the Department of Physics</t>
        </is>
      </c>
      <c r="F92" s="4" t="inlineStr">
        <is>
          <t>https://www.durham.ac.uk/departments/academic/physics/postgraduate-study/research-degrees/how-to-apply/</t>
        </is>
      </c>
      <c r="G92" s="4" t="inlineStr"/>
      <c r="H92" s="4" t="inlineStr">
        <is>
          <t>2026-10-21</t>
        </is>
      </c>
    </row>
    <row r="93">
      <c r="A93" s="4" t="inlineStr">
        <is>
          <t>Durham University</t>
        </is>
      </c>
      <c r="B93" s="4" t="inlineStr">
        <is>
          <t>Application fee</t>
        </is>
      </c>
      <c r="C93" s="4" t="inlineStr">
        <is>
          <t>Not stated</t>
        </is>
      </c>
      <c r="D93" s="4" t="inlineStr">
        <is>
          <t>Not stated on the page checked</t>
        </is>
      </c>
      <c r="E93" s="4" t="inlineStr">
        <is>
          <t>(no statement found)</t>
        </is>
      </c>
      <c r="F93" s="4" t="inlineStr">
        <is>
          <t>https://www.durham.ac.uk/departments/academic/physics/postgraduate-study/research-degrees/how-to-apply/</t>
        </is>
      </c>
      <c r="G93" s="4" t="inlineStr"/>
      <c r="H93" s="4" t="inlineStr">
        <is>
          <t>2026-10-21</t>
        </is>
      </c>
    </row>
    <row r="94">
      <c r="A94" s="4" t="inlineStr">
        <is>
          <t>Durham University</t>
        </is>
      </c>
      <c r="B94" s="4" t="inlineStr">
        <is>
          <t>Intl fee waiver</t>
        </is>
      </c>
      <c r="C94" s="4" t="inlineStr">
        <is>
          <t>Not stated</t>
        </is>
      </c>
      <c r="D94" s="4" t="inlineStr">
        <is>
          <t>Not stated on the page checked</t>
        </is>
      </c>
      <c r="E94" s="4" t="inlineStr">
        <is>
          <t>(no statement found)</t>
        </is>
      </c>
      <c r="F94" s="4" t="inlineStr">
        <is>
          <t>https://www.durham.ac.uk/departments/academic/physics/postgraduate-study/research-degrees/how-to-apply/</t>
        </is>
      </c>
      <c r="G94" s="4" t="inlineStr"/>
      <c r="H94" s="4" t="inlineStr">
        <is>
          <t>2026-10-21</t>
        </is>
      </c>
    </row>
    <row r="95">
      <c r="A95" s="4" t="inlineStr">
        <is>
          <t>Durham University</t>
        </is>
      </c>
      <c r="B95" s="4" t="inlineStr">
        <is>
          <t>GRE General</t>
        </is>
      </c>
      <c r="C95" s="4" t="inlineStr">
        <is>
          <t>Not stated</t>
        </is>
      </c>
      <c r="D95" s="4" t="inlineStr">
        <is>
          <t>Not stated</t>
        </is>
      </c>
      <c r="E95" s="4" t="inlineStr">
        <is>
          <t>(no statement found)</t>
        </is>
      </c>
      <c r="F95" s="4" t="inlineStr">
        <is>
          <t>https://www.durham.ac.uk/departments/academic/physics/postgraduate-study/research-degrees/how-to-apply/</t>
        </is>
      </c>
      <c r="G95" s="4" t="inlineStr"/>
      <c r="H95" s="4" t="inlineStr">
        <is>
          <t>2026-10-21</t>
        </is>
      </c>
    </row>
    <row r="96">
      <c r="A96" s="4" t="inlineStr">
        <is>
          <t>Durham University</t>
        </is>
      </c>
      <c r="B96" s="4" t="inlineStr">
        <is>
          <t>Physics GRE</t>
        </is>
      </c>
      <c r="C96" s="4" t="inlineStr">
        <is>
          <t>Not stated</t>
        </is>
      </c>
      <c r="D96" s="4" t="inlineStr">
        <is>
          <t>Not stated</t>
        </is>
      </c>
      <c r="E96" s="4" t="inlineStr">
        <is>
          <t>(no statement found)</t>
        </is>
      </c>
      <c r="F96" s="4" t="inlineStr">
        <is>
          <t>https://www.durham.ac.uk/departments/academic/physics/postgraduate-study/research-degrees/how-to-apply/</t>
        </is>
      </c>
      <c r="G96" s="4" t="inlineStr"/>
      <c r="H96" s="4" t="inlineStr">
        <is>
          <t>2026-10-21</t>
        </is>
      </c>
    </row>
    <row r="97">
      <c r="A97" s="4" t="inlineStr">
        <is>
          <t>Durham University</t>
        </is>
      </c>
      <c r="B97" s="4" t="inlineStr">
        <is>
          <t>TOEFL minimum</t>
        </is>
      </c>
      <c r="C97" s="4" t="inlineStr">
        <is>
          <t>4.5 (new scale)</t>
        </is>
      </c>
      <c r="D97" s="4" t="inlineStr">
        <is>
          <t>Physics PGR uses English Band B. TOEFL iBT tests from Jan 21, 2026: 4.5 with no component under 4; earlier tests: 80 with no component under 20. IELTS 6.5 with no component under 6.0</t>
        </is>
      </c>
      <c r="E97" s="4" t="inlineStr">
        <is>
          <t>Tests taken before 21 Jan 2026 | 80 with no component under 20 | Tests taken from 21 Jan 2026 | 4.5 with no component under 4 | 6.5 with no component under 6.0  ||  Physics Study level Language level Undergraduate BAND B Postgraduate Taught (PGT) BAND B Postgraduate Research (PGR) BAND B (https://www.durham.ac.uk/study/international/entry-requirements/english-language-requirements/english-language-levels-required/)</t>
        </is>
      </c>
      <c r="F97" s="4" t="inlineStr">
        <is>
          <t>https://www.durham.ac.uk/study/international/entry-requirements/english-language-requirements/direct-entry-band-b/</t>
        </is>
      </c>
      <c r="G97" s="4" t="inlineStr"/>
      <c r="H97" s="4" t="inlineStr">
        <is>
          <t>2026-10-21</t>
        </is>
      </c>
    </row>
    <row r="98">
      <c r="A98" s="4" t="inlineStr">
        <is>
          <t>Durham University</t>
        </is>
      </c>
      <c r="B98" s="4" t="inlineStr">
        <is>
          <t>English-test waiver (English-medium degree)</t>
        </is>
      </c>
      <c r="C98" s="4" t="inlineStr">
        <is>
          <t>No</t>
        </is>
      </c>
      <c r="D98" s="4" t="inlineStr">
        <is>
          <t>Exemption needs at least 1 full academic year of a degree studied in the UK or another majority English-speaking country (within 2 years of the start), or a UK-degree-equivalent qualification from (or nationality of) a listed country. India is not on the list. Physics may interview you without a test certificate, but still requires one.</t>
        </is>
      </c>
      <c r="E98" s="4" t="inlineStr">
        <is>
          <t>If you have already completed or are currently completing a degree where at least 1 full academic year was studied in the UK or in another majority English speaking country, then you may be exempt from an additional English language test if this has been within 2 years of the start date of the programme you are applying to.  ||  You do not need to prove your knowledge of English if you've recently completed a qualification equivalent to a UK degree in one of the following countries/areas, or are from one of the following countries/areas: (https://www.durham.ac.uk/study/international/entry-requirements/english-language-requirements/recognised-english-speaking-countries/)  ||  For anyone whose first language is not English we require an English Language Certificate (sat within 24 months of the anticipated start date of your course). However, we will consider candidates for interview without formal English language certification. (https://www.durham.ac.uk/departments/academic/physics/postgraduate-study/research-degrees/how-to-apply/)</t>
        </is>
      </c>
      <c r="F98" s="4" t="inlineStr">
        <is>
          <t>https://www.durham.ac.uk/study/international/entry-requirements/english-language-requirements/exemptions-for-undergraduate-and-postgraduate-taught/</t>
        </is>
      </c>
      <c r="G98" s="4" t="inlineStr"/>
      <c r="H98" s="4" t="inlineStr">
        <is>
          <t>2026-10-21</t>
        </is>
      </c>
    </row>
    <row r="99">
      <c r="A99" s="4" t="inlineStr">
        <is>
          <t>Durham University</t>
        </is>
      </c>
      <c r="B99" s="4" t="inlineStr">
        <is>
          <t>Supervisor before admission</t>
        </is>
      </c>
      <c r="C99" s="4" t="inlineStr">
        <is>
          <t>Recommended</t>
        </is>
      </c>
      <c r="D99" s="4" t="inlineStr">
        <is>
          <t>University guidance says to contact a potential supervisor before applying. Physics lets you apply to a research area and list the staff you would like to consider your application, and does not state that prior agreement is required.</t>
        </is>
      </c>
      <c r="E99" s="4" t="inlineStr">
        <is>
          <t>If you are applying to a research area rather than a pre-defined project, please indicate the relevant research area(s) (from the five available) and any research staff you would like your application to be considered by.  ||  Contact a potential supervisor whose expertise matches your proposed research project. Departments are happy to discuss research opportunities and supervisory support before application. (https://www.durham.ac.uk/study/doctoral-school/study-with-us/how-to-apply/)</t>
        </is>
      </c>
      <c r="F99" s="4" t="inlineStr">
        <is>
          <t>https://www.durham.ac.uk/departments/academic/physics/postgraduate-study/research-degrees/how-to-apply/</t>
        </is>
      </c>
      <c r="G99" s="4" t="inlineStr"/>
      <c r="H99" s="4" t="inlineStr">
        <is>
          <t>2026-10-21</t>
        </is>
      </c>
    </row>
    <row r="100">
      <c r="A100" s="4" t="inlineStr">
        <is>
          <t>Durham University</t>
        </is>
      </c>
      <c r="B100" s="4" t="inlineStr">
        <is>
          <t>PhD funding</t>
        </is>
      </c>
      <c r="C100" s="4" t="inlineStr">
        <is>
          <t>Competitive</t>
        </is>
      </c>
      <c r="D100" s="4" t="inlineStr">
        <is>
          <t>Funded studentships (UK Research Councils, external sponsors, Durham) are typically available in all research areas; apply by Dec 15, 2026 for full consideration for all scholarships and funding</t>
        </is>
      </c>
      <c r="E100" s="4" t="inlineStr">
        <is>
          <t>Funded studentships are typically available for PhDs in all research areas, supported by UK Research Councils, external sponsors and Durham University.  ||  Applications received by this date will receive full consideration for all available scholarships and funding opportunities. (https://www.durham.ac.uk/departments/academic/physics/postgraduate-study/research-degrees/how-to-apply/)</t>
        </is>
      </c>
      <c r="F100" s="4" t="inlineStr">
        <is>
          <t>https://www.durham.ac.uk/departments/academic/physics/postgraduate-study/studentships-funding/</t>
        </is>
      </c>
      <c r="G100" s="4" t="inlineStr"/>
      <c r="H100" s="4" t="inlineStr">
        <is>
          <t>2026-10-21</t>
        </is>
      </c>
    </row>
    <row r="101">
      <c r="A101" s="4" t="inlineStr">
        <is>
          <t>Durham University</t>
        </is>
      </c>
      <c r="B101" s="4" t="inlineStr">
        <is>
          <t>Entry route</t>
        </is>
      </c>
      <c r="C101" s="4" t="inlineStr">
        <is>
          <t>Either</t>
        </is>
      </c>
      <c r="D101" s="4" t="inlineStr">
        <is>
          <t>PhD entry with a First-class honours Bachelor's, or at least a 2:1 integrated Master's or a Master's degree (or equivalent)</t>
        </is>
      </c>
      <c r="E101" s="4" t="inlineStr">
        <is>
          <t>For entry to a PhD you will be required to have achieved a First Class honours Bachelor's degree, or at least a 2:1 Integrated Master's degree or a Master's degree in an appropriate subject, from a recognised university (or equivalent).</t>
        </is>
      </c>
      <c r="F101" s="4" t="inlineStr">
        <is>
          <t>https://www.durham.ac.uk/departments/academic/physics/postgraduate-study/research-degrees/how-to-apply/</t>
        </is>
      </c>
      <c r="G101" s="4" t="inlineStr"/>
      <c r="H101" s="4" t="inlineStr">
        <is>
          <t>2026-10-21</t>
        </is>
      </c>
    </row>
    <row r="102">
      <c r="A102" s="4" t="inlineStr">
        <is>
          <t>EPFL (École polytechnique fédérale de Lausanne)</t>
        </is>
      </c>
      <c r="B102" s="4" t="inlineStr">
        <is>
          <t>Deadline (2027 entry)</t>
        </is>
      </c>
      <c r="C102" s="4" t="inlineStr">
        <is>
          <t>2027-04-30</t>
        </is>
      </c>
      <c r="D102" s="4" t="inlineStr">
        <is>
          <t>Two rounds a year: October 31 and April 30. Next: Oct 31, 2026 (imminent) and Apr 30, 2027. Complete files incl. 3 letters. Years inferred.</t>
        </is>
      </c>
      <c r="E102" s="4" t="inlineStr">
        <is>
          <t>The deadlines for applications to the Physics Doctoral Program are April 30 and October 31 of each year.</t>
        </is>
      </c>
      <c r="F102" s="4" t="inlineStr">
        <is>
          <t>https://www.epfl.ch/education/phd/edpy-physics/edpy-how-to-apply/</t>
        </is>
      </c>
      <c r="G102" s="4" t="inlineStr">
        <is>
          <t>year inferred</t>
        </is>
      </c>
      <c r="H102" s="4" t="inlineStr">
        <is>
          <t>2026-10-21</t>
        </is>
      </c>
    </row>
    <row r="103">
      <c r="A103" s="4" t="inlineStr">
        <is>
          <t>EPFL (École polytechnique fédérale de Lausanne)</t>
        </is>
      </c>
      <c r="B103" s="4" t="inlineStr">
        <is>
          <t>Application fee</t>
        </is>
      </c>
      <c r="C103" s="4" t="inlineStr">
        <is>
          <t>0 (no fee)</t>
        </is>
      </c>
      <c r="D103" s="4" t="inlineStr">
        <is>
          <t>No application fee (enrolment fees apply later)</t>
        </is>
      </c>
      <c r="E103" s="4" t="inlineStr">
        <is>
          <t>Is there an application fee? No, there is no application fees</t>
        </is>
      </c>
      <c r="F103" s="4" t="inlineStr">
        <is>
          <t>https://www.epfl.ch/education/admission/admission-2/phd-admission-criteria-and-application/applications-faqs/</t>
        </is>
      </c>
      <c r="G103" s="4" t="inlineStr"/>
      <c r="H103" s="4" t="inlineStr">
        <is>
          <t>2026-10-21</t>
        </is>
      </c>
    </row>
    <row r="104">
      <c r="A104" s="4" t="inlineStr">
        <is>
          <t>EPFL (École polytechnique fédérale de Lausanne)</t>
        </is>
      </c>
      <c r="B104" s="4" t="inlineStr">
        <is>
          <t>Intl fee waiver</t>
        </is>
      </c>
      <c r="C104" s="4" t="inlineStr">
        <is>
          <t>No fee</t>
        </is>
      </c>
      <c r="D104" s="4" t="inlineStr">
        <is>
          <t>Not needed: no application fee</t>
        </is>
      </c>
      <c r="E104" s="4" t="inlineStr">
        <is>
          <t>Is there an application fee? No, there is no application fees</t>
        </is>
      </c>
      <c r="F104" s="4" t="inlineStr">
        <is>
          <t>https://www.epfl.ch/education/admission/admission-2/phd-admission-criteria-and-application/applications-faqs/</t>
        </is>
      </c>
      <c r="G104" s="4" t="inlineStr"/>
      <c r="H104" s="4" t="inlineStr">
        <is>
          <t>2026-10-21</t>
        </is>
      </c>
    </row>
    <row r="105">
      <c r="A105" s="4" t="inlineStr">
        <is>
          <t>EPFL (École polytechnique fédérale de Lausanne)</t>
        </is>
      </c>
      <c r="B105" s="4" t="inlineStr">
        <is>
          <t>GRE General</t>
        </is>
      </c>
      <c r="C105" s="4" t="inlineStr">
        <is>
          <t>Recommended</t>
        </is>
      </c>
      <c r="D105" s="4" t="inlineStr">
        <is>
          <t>GRE General recommended, not required</t>
        </is>
      </c>
      <c r="E105" s="4" t="inlineStr">
        <is>
          <t>The results of the GRE general test is not required but recommended.</t>
        </is>
      </c>
      <c r="F105" s="4" t="inlineStr">
        <is>
          <t>https://www.epfl.ch/education/admission/admission-2/phd-admission-criteria-and-application/applications-faqs/</t>
        </is>
      </c>
      <c r="G105" s="4" t="inlineStr"/>
      <c r="H105" s="4" t="inlineStr">
        <is>
          <t>2026-10-21</t>
        </is>
      </c>
    </row>
    <row r="106">
      <c r="A106" s="4" t="inlineStr">
        <is>
          <t>EPFL (École polytechnique fédérale de Lausanne)</t>
        </is>
      </c>
      <c r="B106" s="4" t="inlineStr">
        <is>
          <t>Physics GRE</t>
        </is>
      </c>
      <c r="C106" s="4" t="inlineStr">
        <is>
          <t>Not stated</t>
        </is>
      </c>
      <c r="D106" s="4" t="inlineStr">
        <is>
          <t>No Physics GRE requirement stated</t>
        </is>
      </c>
      <c r="E106" s="4" t="inlineStr">
        <is>
          <t>(no statement found)</t>
        </is>
      </c>
      <c r="F106" s="4" t="inlineStr">
        <is>
          <t>https://www.epfl.ch/education/admission/admission-2/phd-admission-criteria-and-application/applications-faqs/</t>
        </is>
      </c>
      <c r="G106" s="4" t="inlineStr"/>
      <c r="H106" s="4" t="inlineStr">
        <is>
          <t>2026-10-21</t>
        </is>
      </c>
    </row>
    <row r="107">
      <c r="A107" s="4" t="inlineStr">
        <is>
          <t>EPFL (École polytechnique fédérale de Lausanne)</t>
        </is>
      </c>
      <c r="B107" s="4" t="inlineStr">
        <is>
          <t>TOEFL minimum</t>
        </is>
      </c>
      <c r="C107" s="4" t="inlineStr">
        <is>
          <t>Not stated</t>
        </is>
      </c>
      <c r="D107" s="4" t="inlineStr">
        <is>
          <t>TOEFL strongly recommended (not mandatory) if your first language is not English or French; no minimum stated</t>
        </is>
      </c>
      <c r="E107" s="4" t="inlineStr">
        <is>
          <t>For foreign applicants whose first language is not English or French, we strongly recommend that they provide us with the results of the TOEFL and/or GRE test.</t>
        </is>
      </c>
      <c r="F107" s="4" t="inlineStr">
        <is>
          <t>https://www.epfl.ch/education/admission/admission-2/phd-admission-criteria-and-application/applications-faqs/</t>
        </is>
      </c>
      <c r="G107" s="4" t="inlineStr"/>
      <c r="H107" s="4" t="inlineStr">
        <is>
          <t>2026-10-21</t>
        </is>
      </c>
    </row>
    <row r="108">
      <c r="A108" s="4" t="inlineStr">
        <is>
          <t>EPFL (École polytechnique fédérale de Lausanne)</t>
        </is>
      </c>
      <c r="B108" s="4" t="inlineStr">
        <is>
          <t>English-test waiver (English-medium degree)</t>
        </is>
      </c>
      <c r="C108" s="4" t="inlineStr">
        <is>
          <t>Yes</t>
        </is>
      </c>
      <c r="D108" s="4" t="inlineStr">
        <is>
          <t>No English test is strictly required; proficiency in English is required and TOEFL is strongly recommended</t>
        </is>
      </c>
      <c r="E108" s="4" t="inlineStr">
        <is>
          <t>You must be proficient in English to pursue your doctoral studies at EPFL.</t>
        </is>
      </c>
      <c r="F108" s="4" t="inlineStr">
        <is>
          <t>https://www.epfl.ch/education/admission/admission-2/phd-admission-criteria-and-application/applications-faqs/</t>
        </is>
      </c>
      <c r="G108" s="4" t="inlineStr"/>
      <c r="H108" s="4" t="inlineStr">
        <is>
          <t>2026-10-21</t>
        </is>
      </c>
    </row>
    <row r="109">
      <c r="A109" s="4" t="inlineStr">
        <is>
          <t>EPFL (École polytechnique fédérale de Lausanne)</t>
        </is>
      </c>
      <c r="B109" s="4" t="inlineStr">
        <is>
          <t>Supervisor before admission</t>
        </is>
      </c>
      <c r="C109" s="4" t="inlineStr">
        <is>
          <t>Required</t>
        </is>
      </c>
      <c r="D109" s="4" t="inlineStr">
        <is>
          <t>Admission = eligible by committee AND a thesis advisor offers you a PhD position after interview; eligible files are shared with all thesis directors</t>
        </is>
      </c>
      <c r="E109" s="4" t="inlineStr">
        <is>
          <t>the candidate found a thesis advisor associated with the program, in a research unit that decided, after an interview, to offer him/her a PhD student position</t>
        </is>
      </c>
      <c r="F109" s="4" t="inlineStr">
        <is>
          <t>https://www.epfl.ch/education/phd/edpy-physics/edpy-how-to-apply/</t>
        </is>
      </c>
      <c r="G109" s="4" t="inlineStr"/>
      <c r="H109" s="4" t="inlineStr">
        <is>
          <t>2026-10-21</t>
        </is>
      </c>
    </row>
    <row r="110">
      <c r="A110" s="4" t="inlineStr">
        <is>
          <t>EPFL (École polytechnique fédérale de Lausanne)</t>
        </is>
      </c>
      <c r="B110" s="4" t="inlineStr">
        <is>
          <t>PhD funding</t>
        </is>
      </c>
      <c r="C110" s="4" t="inlineStr">
        <is>
          <t>Guaranteed</t>
        </is>
      </c>
      <c r="D110" s="4" t="inlineStr">
        <is>
          <t>Enrolment requires secured funding; lab-appointed doctoral students get an employment contract</t>
        </is>
      </c>
      <c r="E110" s="4" t="inlineStr">
        <is>
          <t>The final enrollment in the doctoral program is conditional to the choice of a thesis topic, a supervisor and a secure funding.</t>
        </is>
      </c>
      <c r="F110" s="4" t="inlineStr">
        <is>
          <t>https://www.epfl.ch/education/admission/admission-2/phd-admission-criteria-and-application/</t>
        </is>
      </c>
      <c r="G110" s="4" t="inlineStr"/>
      <c r="H110" s="4" t="inlineStr">
        <is>
          <t>2026-10-21</t>
        </is>
      </c>
    </row>
    <row r="111">
      <c r="A111" s="4" t="inlineStr">
        <is>
          <t>EPFL (École polytechnique fédérale de Lausanne)</t>
        </is>
      </c>
      <c r="B111" s="4" t="inlineStr">
        <is>
          <t>Entry route</t>
        </is>
      </c>
      <c r="C111" s="4" t="inlineStr">
        <is>
          <t>Master's usually required</t>
        </is>
      </c>
      <c r="D111" s="4" t="inlineStr">
        <is>
          <t>Usually after a master's; 4- or 5-year bachelor's holders may apply and should explain their education in the Statement of Objectives</t>
        </is>
      </c>
      <c r="E111" s="4" t="inlineStr">
        <is>
          <t>Doctoral studies at EPFL usually begin after a Master’s degree in the relevant discipline. Candidates with a 4-year or 5-year Bachelor’s degree may also apply</t>
        </is>
      </c>
      <c r="F111" s="4" t="inlineStr">
        <is>
          <t>https://www.epfl.ch/education/admission/admission-2/phd-admission-criteria-and-application/applications-faqs/</t>
        </is>
      </c>
      <c r="G111" s="4" t="inlineStr"/>
      <c r="H111" s="4" t="inlineStr">
        <is>
          <t>2026-10-21</t>
        </is>
      </c>
    </row>
    <row r="112">
      <c r="A112" s="4" t="inlineStr">
        <is>
          <t>ETH Zurich</t>
        </is>
      </c>
      <c r="B112" s="4" t="inlineStr">
        <is>
          <t>Deadline (2027 entry)</t>
        </is>
      </c>
      <c r="C112" s="4" t="inlineStr">
        <is>
          <t>Per position</t>
        </is>
      </c>
      <c r="D112" s="4" t="inlineStr">
        <is>
          <t>No central deadline: each professor recruits their own doctoral students; some posts are advertised as vacancies</t>
        </is>
      </c>
      <c r="E112" s="4" t="inlineStr">
        <is>
          <t>Each potential doctoral thesis supervisor recruits their doctoral students themselves.</t>
        </is>
      </c>
      <c r="F112" s="4" t="inlineStr">
        <is>
          <t>https://ethz.ch/en/doctorate/finding-a-place.html</t>
        </is>
      </c>
      <c r="G112" s="4" t="inlineStr"/>
      <c r="H112" s="4" t="inlineStr">
        <is>
          <t>2026-10-21</t>
        </is>
      </c>
    </row>
    <row r="113">
      <c r="A113" s="4" t="inlineStr">
        <is>
          <t>ETH Zurich</t>
        </is>
      </c>
      <c r="B113" s="4" t="inlineStr">
        <is>
          <t>Application fee</t>
        </is>
      </c>
      <c r="C113" s="4" t="inlineStr">
        <is>
          <t>Not stated</t>
        </is>
      </c>
      <c r="D113" s="4" t="inlineStr">
        <is>
          <t>No central application process described on the page checked</t>
        </is>
      </c>
      <c r="E113" s="4" t="inlineStr">
        <is>
          <t>(no statement found)</t>
        </is>
      </c>
      <c r="F113" s="4" t="inlineStr">
        <is>
          <t>https://ethz.ch/en/doctorate/finding-a-place.html</t>
        </is>
      </c>
      <c r="G113" s="4" t="inlineStr"/>
      <c r="H113" s="4" t="inlineStr">
        <is>
          <t>2026-10-21</t>
        </is>
      </c>
    </row>
    <row r="114">
      <c r="A114" s="4" t="inlineStr">
        <is>
          <t>ETH Zurich</t>
        </is>
      </c>
      <c r="B114" s="4" t="inlineStr">
        <is>
          <t>Intl fee waiver</t>
        </is>
      </c>
      <c r="C114" s="4" t="inlineStr">
        <is>
          <t>Not stated</t>
        </is>
      </c>
      <c r="D114" s="4" t="inlineStr">
        <is>
          <t>Not stated on the page checked</t>
        </is>
      </c>
      <c r="E114" s="4" t="inlineStr">
        <is>
          <t>(no statement found)</t>
        </is>
      </c>
      <c r="F114" s="4" t="inlineStr">
        <is>
          <t>https://ethz.ch/en/doctorate/finding-a-place.html</t>
        </is>
      </c>
      <c r="G114" s="4" t="inlineStr"/>
      <c r="H114" s="4" t="inlineStr">
        <is>
          <t>2026-10-21</t>
        </is>
      </c>
    </row>
    <row r="115">
      <c r="A115" s="4" t="inlineStr">
        <is>
          <t>ETH Zurich</t>
        </is>
      </c>
      <c r="B115" s="4" t="inlineStr">
        <is>
          <t>GRE General</t>
        </is>
      </c>
      <c r="C115" s="4" t="inlineStr">
        <is>
          <t>Not stated</t>
        </is>
      </c>
      <c r="D115" s="4" t="inlineStr">
        <is>
          <t>Not stated on the page checked</t>
        </is>
      </c>
      <c r="E115" s="4" t="inlineStr">
        <is>
          <t>(no statement found)</t>
        </is>
      </c>
      <c r="F115" s="4" t="inlineStr">
        <is>
          <t>https://ethz.ch/en/doctorate/finding-a-place.html</t>
        </is>
      </c>
      <c r="G115" s="4" t="inlineStr"/>
      <c r="H115" s="4" t="inlineStr">
        <is>
          <t>2026-10-21</t>
        </is>
      </c>
    </row>
    <row r="116">
      <c r="A116" s="4" t="inlineStr">
        <is>
          <t>ETH Zurich</t>
        </is>
      </c>
      <c r="B116" s="4" t="inlineStr">
        <is>
          <t>Physics GRE</t>
        </is>
      </c>
      <c r="C116" s="4" t="inlineStr">
        <is>
          <t>Not stated</t>
        </is>
      </c>
      <c r="D116" s="4" t="inlineStr">
        <is>
          <t>Not stated on the page checked</t>
        </is>
      </c>
      <c r="E116" s="4" t="inlineStr">
        <is>
          <t>(no statement found)</t>
        </is>
      </c>
      <c r="F116" s="4" t="inlineStr">
        <is>
          <t>https://ethz.ch/en/doctorate/finding-a-place.html</t>
        </is>
      </c>
      <c r="G116" s="4" t="inlineStr"/>
      <c r="H116" s="4" t="inlineStr">
        <is>
          <t>2026-10-21</t>
        </is>
      </c>
    </row>
    <row r="117">
      <c r="A117" s="4" t="inlineStr">
        <is>
          <t>ETH Zurich</t>
        </is>
      </c>
      <c r="B117" s="4" t="inlineStr">
        <is>
          <t>TOEFL minimum</t>
        </is>
      </c>
      <c r="C117" s="4" t="inlineStr">
        <is>
          <t>Not stated</t>
        </is>
      </c>
      <c r="D117" s="4" t="inlineStr">
        <is>
          <t>Not stated on the page checked</t>
        </is>
      </c>
      <c r="E117" s="4" t="inlineStr">
        <is>
          <t>(no statement found)</t>
        </is>
      </c>
      <c r="F117" s="4" t="inlineStr">
        <is>
          <t>https://ethz.ch/en/doctorate/finding-a-place.html</t>
        </is>
      </c>
      <c r="G117" s="4" t="inlineStr"/>
      <c r="H117" s="4" t="inlineStr">
        <is>
          <t>2026-10-21</t>
        </is>
      </c>
    </row>
    <row r="118">
      <c r="A118" s="4" t="inlineStr">
        <is>
          <t>ETH Zurich</t>
        </is>
      </c>
      <c r="B118" s="4" t="inlineStr">
        <is>
          <t>English-test waiver (English-medium degree)</t>
        </is>
      </c>
      <c r="C118" s="4" t="inlineStr">
        <is>
          <t>Not stated</t>
        </is>
      </c>
      <c r="D118" s="4" t="inlineStr">
        <is>
          <t>Not stated on the page checked; ask the professor</t>
        </is>
      </c>
      <c r="E118" s="4" t="inlineStr">
        <is>
          <t>(no statement found)</t>
        </is>
      </c>
      <c r="F118" s="4" t="inlineStr">
        <is>
          <t>https://ethz.ch/en/doctorate/finding-a-place.html</t>
        </is>
      </c>
      <c r="G118" s="4" t="inlineStr"/>
      <c r="H118" s="4" t="inlineStr">
        <is>
          <t>2026-10-21</t>
        </is>
      </c>
    </row>
    <row r="119">
      <c r="A119" s="4" t="inlineStr">
        <is>
          <t>ETH Zurich</t>
        </is>
      </c>
      <c r="B119" s="4" t="inlineStr">
        <is>
          <t>Supervisor before admission</t>
        </is>
      </c>
      <c r="C119" s="4" t="inlineStr">
        <is>
          <t>Required</t>
        </is>
      </c>
      <c r="D119" s="4" t="inlineStr">
        <is>
          <t>A professor must agree to supervise you; contact professorships directly (the Doctoral Administration does not match candidates)</t>
        </is>
      </c>
      <c r="E119" s="4" t="inlineStr">
        <is>
          <t>In order to be able to complete a doctorate at ETH, a professor at ETH must be willing to supervise your dissertation.</t>
        </is>
      </c>
      <c r="F119" s="4" t="inlineStr">
        <is>
          <t>https://ethz.ch/en/doctorate/finding-a-place.html</t>
        </is>
      </c>
      <c r="G119" s="4" t="inlineStr"/>
      <c r="H119" s="4" t="inlineStr">
        <is>
          <t>2026-10-21</t>
        </is>
      </c>
    </row>
    <row r="120">
      <c r="A120" s="4" t="inlineStr">
        <is>
          <t>ETH Zurich</t>
        </is>
      </c>
      <c r="B120" s="4" t="inlineStr">
        <is>
          <t>PhD funding</t>
        </is>
      </c>
      <c r="C120" s="4" t="inlineStr">
        <is>
          <t>Typical</t>
        </is>
      </c>
      <c r="D120" s="4" t="inlineStr">
        <is>
          <t>With few exceptions doctorates are linked to a position (employment) at ETH or in the ETH Domain</t>
        </is>
      </c>
      <c r="E120" s="4" t="inlineStr">
        <is>
          <t>With few exceptions, doctorates are linked to a position at ETH or within the ETH-domain.</t>
        </is>
      </c>
      <c r="F120" s="4" t="inlineStr">
        <is>
          <t>https://ethz.ch/en/doctorate/finding-a-place.html</t>
        </is>
      </c>
      <c r="G120" s="4" t="inlineStr"/>
      <c r="H120" s="4" t="inlineStr">
        <is>
          <t>2026-10-21</t>
        </is>
      </c>
    </row>
    <row r="121">
      <c r="A121" s="4" t="inlineStr">
        <is>
          <t>ETH Zurich</t>
        </is>
      </c>
      <c r="B121" s="4" t="inlineStr">
        <is>
          <t>Entry route</t>
        </is>
      </c>
      <c r="C121" s="4" t="inlineStr">
        <is>
          <t>Not stated</t>
        </is>
      </c>
      <c r="D121" s="4" t="inlineStr">
        <is>
          <t>Not stated on the page checked</t>
        </is>
      </c>
      <c r="E121" s="4" t="inlineStr">
        <is>
          <t>(no statement found)</t>
        </is>
      </c>
      <c r="F121" s="4" t="inlineStr">
        <is>
          <t>https://ethz.ch/en/doctorate/finding-a-place.html</t>
        </is>
      </c>
      <c r="G121" s="4" t="inlineStr"/>
      <c r="H121" s="4" t="inlineStr">
        <is>
          <t>2026-10-21</t>
        </is>
      </c>
    </row>
    <row r="122">
      <c r="A122" s="4" t="inlineStr">
        <is>
          <t>Georgia Institute of Technology</t>
        </is>
      </c>
      <c r="B122" s="4" t="inlineStr">
        <is>
          <t>Deadline (2027 entry)</t>
        </is>
      </c>
      <c r="C122" s="4" t="inlineStr">
        <is>
          <t>2026-12-15</t>
        </is>
      </c>
      <c r="D122" s="4" t="inlineStr">
        <is>
          <t>December 15. Year inferred for Fall 2027.</t>
        </is>
      </c>
      <c r="E122" s="4" t="inlineStr">
        <is>
          <t>The application deadline is December 15th.</t>
        </is>
      </c>
      <c r="F122" s="4" t="inlineStr">
        <is>
          <t>https://physics.gatech.edu/academics/graduate/admissions-info</t>
        </is>
      </c>
      <c r="G122" s="4" t="inlineStr">
        <is>
          <t>year inferred</t>
        </is>
      </c>
      <c r="H122" s="4" t="inlineStr">
        <is>
          <t>2026-10-21</t>
        </is>
      </c>
    </row>
    <row r="123">
      <c r="A123" s="4" t="inlineStr">
        <is>
          <t>Georgia Institute of Technology</t>
        </is>
      </c>
      <c r="B123" s="4" t="inlineStr">
        <is>
          <t>Application fee</t>
        </is>
      </c>
      <c r="C123" s="4" t="inlineStr">
        <is>
          <t>105 USD</t>
        </is>
      </c>
      <c r="D123" s="4" t="inlineStr">
        <is>
          <t>USD 105 for international applicants (since Aug 1, 2023)</t>
        </is>
      </c>
      <c r="E123" s="4" t="inlineStr">
        <is>
          <t>As of August 1, 2023, the fee for international applicants is $105 per application.</t>
        </is>
      </c>
      <c r="F123" s="4" t="inlineStr">
        <is>
          <t>https://grad.gatech.edu/admissions/international/ready-to-apply</t>
        </is>
      </c>
      <c r="G123" s="4" t="inlineStr"/>
      <c r="H123" s="4" t="inlineStr">
        <is>
          <t>2026-10-21</t>
        </is>
      </c>
    </row>
    <row r="124">
      <c r="A124" s="4" t="inlineStr">
        <is>
          <t>Georgia Institute of Technology</t>
        </is>
      </c>
      <c r="B124" s="4" t="inlineStr">
        <is>
          <t>Intl fee waiver</t>
        </is>
      </c>
      <c r="C124" s="4" t="inlineStr">
        <is>
          <t>Limited</t>
        </is>
      </c>
      <c r="D124" s="4" t="inlineStr">
        <is>
          <t>Institute waivers for outstanding undergraduate achievement or recruitment events; internationals must submit ALL materials (incl. English scores) before requesting</t>
        </is>
      </c>
      <c r="E124" s="4" t="inlineStr">
        <is>
          <t>Georgia Tech provides application fee waivers to recognize outstanding undergraduate achievement and engage prospective students in recruitment events where Georgia Tech is affiliated. | International applicants must submit all required application materials prior to requesting a fee waiver.</t>
        </is>
      </c>
      <c r="F124" s="4" t="inlineStr">
        <is>
          <t>https://grad.gatech.edu/admissions/international/ready-to-apply</t>
        </is>
      </c>
      <c r="G124" s="4" t="inlineStr"/>
      <c r="H124" s="4" t="inlineStr">
        <is>
          <t>2026-10-21</t>
        </is>
      </c>
    </row>
    <row r="125">
      <c r="A125" s="4" t="inlineStr">
        <is>
          <t>Georgia Institute of Technology</t>
        </is>
      </c>
      <c r="B125" s="4" t="inlineStr">
        <is>
          <t>GRE General</t>
        </is>
      </c>
      <c r="C125" s="4" t="inlineStr">
        <is>
          <t>Not required</t>
        </is>
      </c>
      <c r="D125" s="4" t="inlineStr">
        <is>
          <t>General GRE not required</t>
        </is>
      </c>
      <c r="E125" s="4" t="inlineStr">
        <is>
          <t>The General GRE Test is NOT REQUIRED for all applicants.</t>
        </is>
      </c>
      <c r="F125" s="4" t="inlineStr">
        <is>
          <t>https://physics.gatech.edu/academics/graduate/admissions-info</t>
        </is>
      </c>
      <c r="G125" s="4" t="inlineStr"/>
      <c r="H125" s="4" t="inlineStr">
        <is>
          <t>2026-10-21</t>
        </is>
      </c>
    </row>
    <row r="126">
      <c r="A126" s="4" t="inlineStr">
        <is>
          <t>Georgia Institute of Technology</t>
        </is>
      </c>
      <c r="B126" s="4" t="inlineStr">
        <is>
          <t>Physics GRE</t>
        </is>
      </c>
      <c r="C126" s="4" t="inlineStr">
        <is>
          <t>Not required</t>
        </is>
      </c>
      <c r="D126" s="4" t="inlineStr">
        <is>
          <t>Physics GRE not required</t>
        </is>
      </c>
      <c r="E126" s="4" t="inlineStr">
        <is>
          <t>The GRE Physics Test is NOT REQUIRED for all applicants.</t>
        </is>
      </c>
      <c r="F126" s="4" t="inlineStr">
        <is>
          <t>https://physics.gatech.edu/academics/graduate/admissions-info</t>
        </is>
      </c>
      <c r="G126" s="4" t="inlineStr"/>
      <c r="H126" s="4" t="inlineStr">
        <is>
          <t>2026-10-21</t>
        </is>
      </c>
    </row>
    <row r="127">
      <c r="A127" s="4" t="inlineStr">
        <is>
          <t>Georgia Institute of Technology</t>
        </is>
      </c>
      <c r="B127" s="4" t="inlineStr">
        <is>
          <t>TOEFL minimum</t>
        </is>
      </c>
      <c r="C127" s="4" t="inlineStr">
        <is>
          <t>106</t>
        </is>
      </c>
      <c r="D127" s="4" t="inlineStr">
        <is>
          <t>TOEFL 106 (scores direct from ETS); IELTS 7.5 with every band 7+ (among the highest in this list)</t>
        </is>
      </c>
      <c r="E127" s="4" t="inlineStr">
        <is>
          <t>The TOEFL minimum is 106 and official scores must be sent directly from ETS. | The IELTS test minimum is 7.5, and all skills must be greater than or equal to 7.</t>
        </is>
      </c>
      <c r="F127" s="4" t="inlineStr">
        <is>
          <t>https://physics.gatech.edu/academics/graduate/admissions-info</t>
        </is>
      </c>
      <c r="G127" s="4" t="inlineStr"/>
      <c r="H127" s="4" t="inlineStr">
        <is>
          <t>2026-10-21</t>
        </is>
      </c>
    </row>
    <row r="128">
      <c r="A128" s="4" t="inlineStr">
        <is>
          <t>Georgia Institute of Technology</t>
        </is>
      </c>
      <c r="B128" s="4" t="inlineStr">
        <is>
          <t>English-test waiver (English-medium degree)</t>
        </is>
      </c>
      <c r="C128" s="4" t="inlineStr">
        <is>
          <t>No</t>
        </is>
      </c>
      <c r="D128" s="4" t="inlineStr">
        <is>
          <t>All applicants must demonstrate English proficiency at application, regardless of citizenship</t>
        </is>
      </c>
      <c r="E128" s="4" t="inlineStr">
        <is>
          <t>All applicants must demonstrate English proficiency at the time of application, regardless of citizenship status.</t>
        </is>
      </c>
      <c r="F128" s="4" t="inlineStr">
        <is>
          <t>https://physics.gatech.edu/academics/graduate/admissions-info</t>
        </is>
      </c>
      <c r="G128" s="4" t="inlineStr"/>
      <c r="H128" s="4" t="inlineStr">
        <is>
          <t>2026-10-21</t>
        </is>
      </c>
    </row>
    <row r="129">
      <c r="A129" s="4" t="inlineStr">
        <is>
          <t>Georgia Institute of Technology</t>
        </is>
      </c>
      <c r="B129" s="4" t="inlineStr">
        <is>
          <t>Supervisor before admission</t>
        </is>
      </c>
      <c r="C129" s="4" t="inlineStr">
        <is>
          <t>Not stated</t>
        </is>
      </c>
      <c r="D129" s="4" t="inlineStr">
        <is>
          <t>No pre-application supervisor requirement mentioned</t>
        </is>
      </c>
      <c r="E129" s="4" t="inlineStr">
        <is>
          <t>(no statement found)</t>
        </is>
      </c>
      <c r="F129" s="4" t="inlineStr">
        <is>
          <t>https://physics.gatech.edu/academics/graduate/admissions-info</t>
        </is>
      </c>
      <c r="G129" s="4" t="inlineStr"/>
      <c r="H129" s="4" t="inlineStr">
        <is>
          <t>2026-10-21</t>
        </is>
      </c>
    </row>
    <row r="130">
      <c r="A130" s="4" t="inlineStr">
        <is>
          <t>Georgia Institute of Technology</t>
        </is>
      </c>
      <c r="B130" s="4" t="inlineStr">
        <is>
          <t>PhD funding</t>
        </is>
      </c>
      <c r="C130" s="4" t="inlineStr">
        <is>
          <t>Not stated</t>
        </is>
      </c>
      <c r="D130" s="4" t="inlineStr">
        <is>
          <t>PhD support terms not stated (MS students get no support)</t>
        </is>
      </c>
      <c r="E130" s="4" t="inlineStr">
        <is>
          <t>Our MS students are given no financial support and must pay full tuition.</t>
        </is>
      </c>
      <c r="F130" s="4" t="inlineStr">
        <is>
          <t>https://physics.gatech.edu/academics/graduate/admissions-info</t>
        </is>
      </c>
      <c r="G130" s="4" t="inlineStr"/>
      <c r="H130" s="4" t="inlineStr">
        <is>
          <t>2026-10-21</t>
        </is>
      </c>
    </row>
    <row r="131">
      <c r="A131" s="4" t="inlineStr">
        <is>
          <t>Georgia Institute of Technology</t>
        </is>
      </c>
      <c r="B131" s="4" t="inlineStr">
        <is>
          <t>Entry route</t>
        </is>
      </c>
      <c r="C131" s="4" t="inlineStr">
        <is>
          <t>Direct from bachelor's</t>
        </is>
      </c>
      <c r="D131" s="4" t="inlineStr">
        <is>
          <t>Research-track applicants should apply straight to the PhD; a physics BS is not strictly needed if upper-level physics was taken</t>
        </is>
      </c>
      <c r="E131" s="4" t="inlineStr">
        <is>
          <t>If your career plan is to do Research, you should apply directly to the Ph.D. program – not the MS Program.</t>
        </is>
      </c>
      <c r="F131" s="4" t="inlineStr">
        <is>
          <t>https://physics.gatech.edu/academics/graduate/admissions-info</t>
        </is>
      </c>
      <c r="G131" s="4" t="inlineStr"/>
      <c r="H131" s="4" t="inlineStr">
        <is>
          <t>2026-10-21</t>
        </is>
      </c>
    </row>
    <row r="132">
      <c r="A132" s="4" t="inlineStr">
        <is>
          <t>Harvard University</t>
        </is>
      </c>
      <c r="B132" s="4" t="inlineStr">
        <is>
          <t>Deadline (2027 entry)</t>
        </is>
      </c>
      <c r="C132" s="4" t="inlineStr">
        <is>
          <t>2026-12-15</t>
        </is>
      </c>
      <c r="D132" s="4" t="inlineStr">
        <is>
          <t>December 15, 2026 at 05:00 pm (PhD)</t>
        </is>
      </c>
      <c r="E132" s="4" t="inlineStr">
        <is>
          <t>Doctor of Philosophy (PhD) | Dec 15, 2026</t>
        </is>
      </c>
      <c r="F132" s="4" t="inlineStr">
        <is>
          <t>https://gsas.harvard.edu/program/physics</t>
        </is>
      </c>
      <c r="G132" s="4" t="inlineStr"/>
      <c r="H132" s="4" t="inlineStr">
        <is>
          <t>2026-10-21</t>
        </is>
      </c>
    </row>
    <row r="133">
      <c r="A133" s="4" t="inlineStr">
        <is>
          <t>Harvard University</t>
        </is>
      </c>
      <c r="B133" s="4" t="inlineStr">
        <is>
          <t>Application fee</t>
        </is>
      </c>
      <c r="C133" s="4" t="inlineStr">
        <is>
          <t>105 USD</t>
        </is>
      </c>
      <c r="D133" s="4" t="inlineStr">
        <is>
          <t>USD 105, credit card only, non-refundable</t>
        </is>
      </c>
      <c r="E133" s="4" t="inlineStr">
        <is>
          <t>The application fee is $105 payable by credit card.</t>
        </is>
      </c>
      <c r="F133" s="4" t="inlineStr">
        <is>
          <t>https://gsas.harvard.edu/apply/applying-degree-programs</t>
        </is>
      </c>
      <c r="G133" s="4" t="inlineStr"/>
      <c r="H133" s="4" t="inlineStr">
        <is>
          <t>2026-10-21</t>
        </is>
      </c>
    </row>
    <row r="134">
      <c r="A134" s="4" t="inlineStr">
        <is>
          <t>Harvard University</t>
        </is>
      </c>
      <c r="B134" s="4" t="inlineStr">
        <is>
          <t>Intl fee waiver</t>
        </is>
      </c>
      <c r="C134" s="4" t="inlineStr">
        <is>
          <t>Not stated</t>
        </is>
      </c>
      <c r="D134" s="4" t="inlineStr">
        <is>
          <t>A waiver exists; eligibility is decided by questions inside the application fee section. Whether international applicants qualify is not stated.</t>
        </is>
      </c>
      <c r="E134" s="4" t="inlineStr">
        <is>
          <t>Applicants can determine eligibility for a fee waiver by completing a series of questions in the Application Fee section of the application.</t>
        </is>
      </c>
      <c r="F134" s="4" t="inlineStr">
        <is>
          <t>https://gsas.harvard.edu/apply/applying-degree-programs</t>
        </is>
      </c>
      <c r="G134" s="4" t="inlineStr"/>
      <c r="H134" s="4" t="inlineStr">
        <is>
          <t>2026-10-21</t>
        </is>
      </c>
    </row>
    <row r="135">
      <c r="A135" s="4" t="inlineStr">
        <is>
          <t>Harvard University</t>
        </is>
      </c>
      <c r="B135" s="4" t="inlineStr">
        <is>
          <t>GRE General</t>
        </is>
      </c>
      <c r="C135" s="4" t="inlineStr">
        <is>
          <t>Optional</t>
        </is>
      </c>
      <c r="D135" s="4" t="inlineStr">
        <is>
          <t>General GRE optional</t>
        </is>
      </c>
      <c r="E135" s="4" t="inlineStr">
        <is>
          <t>GRE General: Optional</t>
        </is>
      </c>
      <c r="F135" s="4" t="inlineStr">
        <is>
          <t>https://gsas.harvard.edu/program/physics</t>
        </is>
      </c>
      <c r="G135" s="4" t="inlineStr"/>
      <c r="H135" s="4" t="inlineStr">
        <is>
          <t>2026-10-21</t>
        </is>
      </c>
    </row>
    <row r="136">
      <c r="A136" s="4" t="inlineStr">
        <is>
          <t>Harvard University</t>
        </is>
      </c>
      <c r="B136" s="4" t="inlineStr">
        <is>
          <t>Physics GRE</t>
        </is>
      </c>
      <c r="C136" s="4" t="inlineStr">
        <is>
          <t>Required</t>
        </is>
      </c>
      <c r="D136" s="4" t="inlineStr">
        <is>
          <t>Physics GRE subject test required</t>
        </is>
      </c>
      <c r="E136" s="4" t="inlineStr">
        <is>
          <t>GRE Physics Subject Test: Required</t>
        </is>
      </c>
      <c r="F136" s="4" t="inlineStr">
        <is>
          <t>https://gsas.harvard.edu/program/physics</t>
        </is>
      </c>
      <c r="G136" s="4" t="inlineStr"/>
      <c r="H136" s="4" t="inlineStr">
        <is>
          <t>2026-10-21</t>
        </is>
      </c>
    </row>
    <row r="137">
      <c r="A137" s="4" t="inlineStr">
        <is>
          <t>Harvard University</t>
        </is>
      </c>
      <c r="B137" s="4" t="inlineStr">
        <is>
          <t>TOEFL minimum</t>
        </is>
      </c>
      <c r="C137" s="4" t="inlineStr">
        <is>
          <t>95</t>
        </is>
      </c>
      <c r="D137" s="4" t="inlineStr">
        <is>
          <t>TOEFL iBT 95 (tests before Jan 21, 2026) or 5 (new scale), with Speaking 23 / 4.5; IELTS Academic also accepted; some programs may set higher scores</t>
        </is>
      </c>
      <c r="E137" s="4" t="inlineStr">
        <is>
          <t>Earning a minimum score of 5 (95 for tests taken prior to January 21, 2026) on the TOEFL iBT and a minimum Speaking score of 4.5 (23 for tests taken prior to January 21, 2026).</t>
        </is>
      </c>
      <c r="F137" s="4" t="inlineStr">
        <is>
          <t>https://gsas.harvard.edu/apply/applying-degree-programs/english-proficiency</t>
        </is>
      </c>
      <c r="G137" s="4" t="inlineStr"/>
      <c r="H137" s="4" t="inlineStr">
        <is>
          <t>2026-10-21</t>
        </is>
      </c>
    </row>
    <row r="138">
      <c r="A138" s="4" t="inlineStr">
        <is>
          <t>Harvard University</t>
        </is>
      </c>
      <c r="B138" s="4" t="inlineStr">
        <is>
          <t>English-test waiver (English-medium degree)</t>
        </is>
      </c>
      <c r="C138" s="4" t="inlineStr">
        <is>
          <t>Yes</t>
        </is>
      </c>
      <c r="D138" s="4" t="inlineStr">
        <is>
          <t>Exempt if your undergraduate degree is from an institution where English is the primary language of instruction; a master's or other graduate degree does not count</t>
        </is>
      </c>
      <c r="E138" s="4" t="inlineStr">
        <is>
          <t>Receiving an undergraduate degree from an academic institution where English is the primary language of instruction. | A master’s degree or other graduate degree is not accepted as proof of English proficiency.</t>
        </is>
      </c>
      <c r="F138" s="4" t="inlineStr">
        <is>
          <t>https://gsas.harvard.edu/apply/applying-degree-programs/english-proficiency</t>
        </is>
      </c>
      <c r="G138" s="4" t="inlineStr"/>
      <c r="H138" s="4" t="inlineStr">
        <is>
          <t>2026-10-21</t>
        </is>
      </c>
    </row>
    <row r="139">
      <c r="A139" s="4" t="inlineStr">
        <is>
          <t>Harvard University</t>
        </is>
      </c>
      <c r="B139" s="4" t="inlineStr">
        <is>
          <t>Supervisor before admission</t>
        </is>
      </c>
      <c r="C139" s="4" t="inlineStr">
        <is>
          <t>Not stated</t>
        </is>
      </c>
      <c r="D139" s="4" t="inlineStr">
        <is>
          <t>No pre-application supervisor requirement mentioned</t>
        </is>
      </c>
      <c r="E139" s="4" t="inlineStr">
        <is>
          <t>(no statement found)</t>
        </is>
      </c>
      <c r="F139" s="4" t="inlineStr">
        <is>
          <t>https://gsas.harvard.edu/program/physics</t>
        </is>
      </c>
      <c r="G139" s="4" t="inlineStr"/>
      <c r="H139" s="4" t="inlineStr">
        <is>
          <t>2026-10-21</t>
        </is>
      </c>
    </row>
    <row r="140">
      <c r="A140" s="4" t="inlineStr">
        <is>
          <t>Harvard University</t>
        </is>
      </c>
      <c r="B140" s="4" t="inlineStr">
        <is>
          <t>PhD funding</t>
        </is>
      </c>
      <c r="C140" s="4" t="inlineStr">
        <is>
          <t>Guaranteed</t>
        </is>
      </c>
      <c r="D140" s="4" t="inlineStr">
        <is>
          <t>Guaranteed funding for the first five years for all PhD students</t>
        </is>
      </c>
      <c r="E140" s="4" t="inlineStr">
        <is>
          <t>Our financial aid program features guaranteed funding for the first five years to all PhD students</t>
        </is>
      </c>
      <c r="F140" s="4" t="inlineStr">
        <is>
          <t>https://gsas.harvard.edu/financial-support/funding-and-aid</t>
        </is>
      </c>
      <c r="G140" s="4" t="inlineStr"/>
      <c r="H140" s="4" t="inlineStr">
        <is>
          <t>2026-10-21</t>
        </is>
      </c>
    </row>
    <row r="141">
      <c r="A141" s="4" t="inlineStr">
        <is>
          <t>Harvard University</t>
        </is>
      </c>
      <c r="B141" s="4" t="inlineStr">
        <is>
          <t>Entry route</t>
        </is>
      </c>
      <c r="C141" s="4" t="inlineStr">
        <is>
          <t>Direct from bachelor's</t>
        </is>
      </c>
      <c r="D141" s="4" t="inlineStr">
        <is>
          <t>Open to holders of a BA/BS or equivalent; for international applicants a three- or four-year undergraduate degree from an institution of recognized standing</t>
        </is>
      </c>
      <c r="E141" s="4" t="inlineStr">
        <is>
          <t>welcomes applications for admission from individuals who have or will have by the time of matriculation a BA, BS, or equivalent undergraduate degree (for prospective international students, a three- or four-year undergraduate degree from an institution of recognized standing)</t>
        </is>
      </c>
      <c r="F141" s="4" t="inlineStr">
        <is>
          <t>https://gsas.harvard.edu/apply/applying-degree-programs</t>
        </is>
      </c>
      <c r="G141" s="4" t="inlineStr"/>
      <c r="H141" s="4" t="inlineStr">
        <is>
          <t>2026-10-21</t>
        </is>
      </c>
    </row>
    <row r="142">
      <c r="A142" s="4" t="inlineStr">
        <is>
          <t>Heidelberg University</t>
        </is>
      </c>
      <c r="B142" s="4" t="inlineStr">
        <is>
          <t>Deadline (2027 entry)</t>
        </is>
      </c>
      <c r="C142" s="4" t="inlineStr">
        <is>
          <t>2026-11-01</t>
        </is>
      </c>
      <c r="D142" s="4" t="inlineStr">
        <is>
          <t>Application portal deadline November 1 (for international students and anyone without prior funding). Year inferred: Nov 1, 2026.</t>
        </is>
      </c>
      <c r="E142" s="4" t="inlineStr">
        <is>
          <t>To application portal (Deadline 1 November)</t>
        </is>
      </c>
      <c r="F142" s="4" t="inlineStr">
        <is>
          <t>https://hgsfp.physik.uni-heidelberg.de/howtoapply#start</t>
        </is>
      </c>
      <c r="G142" s="4" t="inlineStr">
        <is>
          <t>year inferred; act by 2026-11-01</t>
        </is>
      </c>
      <c r="H142" s="4" t="inlineStr">
        <is>
          <t>2026-10-21</t>
        </is>
      </c>
    </row>
    <row r="143">
      <c r="A143" s="4" t="inlineStr">
        <is>
          <t>Heidelberg University</t>
        </is>
      </c>
      <c r="B143" s="4" t="inlineStr">
        <is>
          <t>Application fee</t>
        </is>
      </c>
      <c r="C143" s="4" t="inlineStr">
        <is>
          <t>Not stated</t>
        </is>
      </c>
      <c r="D143" s="4" t="inlineStr">
        <is>
          <t>Not stated on the pages checked</t>
        </is>
      </c>
      <c r="E143" s="4" t="inlineStr">
        <is>
          <t>(no statement found)</t>
        </is>
      </c>
      <c r="F143" s="4" t="inlineStr">
        <is>
          <t>https://hgsfp.physik.uni-heidelberg.de/howtoapply#start</t>
        </is>
      </c>
      <c r="G143" s="4" t="inlineStr"/>
      <c r="H143" s="4" t="inlineStr">
        <is>
          <t>2026-10-21</t>
        </is>
      </c>
    </row>
    <row r="144">
      <c r="A144" s="4" t="inlineStr">
        <is>
          <t>Heidelberg University</t>
        </is>
      </c>
      <c r="B144" s="4" t="inlineStr">
        <is>
          <t>Intl fee waiver</t>
        </is>
      </c>
      <c r="C144" s="4" t="inlineStr">
        <is>
          <t>Not stated</t>
        </is>
      </c>
      <c r="D144" s="4" t="inlineStr">
        <is>
          <t>Not stated on the pages checked</t>
        </is>
      </c>
      <c r="E144" s="4" t="inlineStr">
        <is>
          <t>(no statement found)</t>
        </is>
      </c>
      <c r="F144" s="4" t="inlineStr">
        <is>
          <t>https://hgsfp.physik.uni-heidelberg.de/howtoapply#start</t>
        </is>
      </c>
      <c r="G144" s="4" t="inlineStr"/>
      <c r="H144" s="4" t="inlineStr">
        <is>
          <t>2026-10-21</t>
        </is>
      </c>
    </row>
    <row r="145">
      <c r="A145" s="4" t="inlineStr">
        <is>
          <t>Heidelberg University</t>
        </is>
      </c>
      <c r="B145" s="4" t="inlineStr">
        <is>
          <t>GRE General</t>
        </is>
      </c>
      <c r="C145" s="4" t="inlineStr">
        <is>
          <t>Not stated</t>
        </is>
      </c>
      <c r="D145" s="4" t="inlineStr">
        <is>
          <t>Not stated on the pages checked</t>
        </is>
      </c>
      <c r="E145" s="4" t="inlineStr">
        <is>
          <t>(no statement found)</t>
        </is>
      </c>
      <c r="F145" s="4" t="inlineStr">
        <is>
          <t>https://hgsfp.physik.uni-heidelberg.de/howtoapply/admissionrequirements#start</t>
        </is>
      </c>
      <c r="G145" s="4" t="inlineStr"/>
      <c r="H145" s="4" t="inlineStr">
        <is>
          <t>2026-10-21</t>
        </is>
      </c>
    </row>
    <row r="146">
      <c r="A146" s="4" t="inlineStr">
        <is>
          <t>Heidelberg University</t>
        </is>
      </c>
      <c r="B146" s="4" t="inlineStr">
        <is>
          <t>Physics GRE</t>
        </is>
      </c>
      <c r="C146" s="4" t="inlineStr">
        <is>
          <t>Not stated</t>
        </is>
      </c>
      <c r="D146" s="4" t="inlineStr">
        <is>
          <t>Not stated on the pages checked</t>
        </is>
      </c>
      <c r="E146" s="4" t="inlineStr">
        <is>
          <t>(no statement found)</t>
        </is>
      </c>
      <c r="F146" s="4" t="inlineStr">
        <is>
          <t>https://hgsfp.physik.uni-heidelberg.de/howtoapply/admissionrequirements#start</t>
        </is>
      </c>
      <c r="G146" s="4" t="inlineStr"/>
      <c r="H146" s="4" t="inlineStr">
        <is>
          <t>2026-10-21</t>
        </is>
      </c>
    </row>
    <row r="147">
      <c r="A147" s="4" t="inlineStr">
        <is>
          <t>Heidelberg University</t>
        </is>
      </c>
      <c r="B147" s="4" t="inlineStr">
        <is>
          <t>TOEFL minimum</t>
        </is>
      </c>
      <c r="C147" s="4" t="inlineStr">
        <is>
          <t>Not stated</t>
        </is>
      </c>
      <c r="D147" s="4" t="inlineStr">
        <is>
          <t>Not stated on the pages checked</t>
        </is>
      </c>
      <c r="E147" s="4" t="inlineStr">
        <is>
          <t>(no statement found)</t>
        </is>
      </c>
      <c r="F147" s="4" t="inlineStr">
        <is>
          <t>https://hgsfp.physik.uni-heidelberg.de/howtoapply/admissionrequirements#start</t>
        </is>
      </c>
      <c r="G147" s="4" t="inlineStr"/>
      <c r="H147" s="4" t="inlineStr">
        <is>
          <t>2026-10-21</t>
        </is>
      </c>
    </row>
    <row r="148">
      <c r="A148" s="4" t="inlineStr">
        <is>
          <t>Heidelberg University</t>
        </is>
      </c>
      <c r="B148" s="4" t="inlineStr">
        <is>
          <t>English-test waiver (English-medium degree)</t>
        </is>
      </c>
      <c r="C148" s="4" t="inlineStr">
        <is>
          <t>Not stated</t>
        </is>
      </c>
      <c r="D148" s="4" t="inlineStr">
        <is>
          <t>Not stated on the pages checked</t>
        </is>
      </c>
      <c r="E148" s="4" t="inlineStr">
        <is>
          <t>(no statement found)</t>
        </is>
      </c>
      <c r="F148" s="4" t="inlineStr">
        <is>
          <t>https://hgsfp.physik.uni-heidelberg.de/howtoapply/admissionrequirements#start</t>
        </is>
      </c>
      <c r="G148" s="4" t="inlineStr"/>
      <c r="H148" s="4" t="inlineStr">
        <is>
          <t>2026-10-21</t>
        </is>
      </c>
    </row>
    <row r="149">
      <c r="A149" s="4" t="inlineStr">
        <is>
          <t>Heidelberg University</t>
        </is>
      </c>
      <c r="B149" s="4" t="inlineStr">
        <is>
          <t>Supervisor before admission</t>
        </is>
      </c>
      <c r="C149" s="4" t="inlineStr">
        <is>
          <t>Not required</t>
        </is>
      </c>
      <c r="D149" s="4" t="inlineStr">
        <is>
          <t>Two routes: the web portal (international students, or anyone without funding) or direct application with an advisor and funding already arranged</t>
        </is>
      </c>
      <c r="E149" s="4" t="inlineStr">
        <is>
          <t>apply either through our webportal (for international students) and anyone without prior financial support) or directly, using the forms from the forms section (if you already have an advisor and financial support through them.</t>
        </is>
      </c>
      <c r="F149" s="4" t="inlineStr">
        <is>
          <t>https://hgsfp.physik.uni-heidelberg.de/howtoapply#start</t>
        </is>
      </c>
      <c r="G149" s="4" t="inlineStr"/>
      <c r="H149" s="4" t="inlineStr">
        <is>
          <t>2026-10-21</t>
        </is>
      </c>
    </row>
    <row r="150">
      <c r="A150" s="4" t="inlineStr">
        <is>
          <t>Heidelberg University</t>
        </is>
      </c>
      <c r="B150" s="4" t="inlineStr">
        <is>
          <t>PhD funding</t>
        </is>
      </c>
      <c r="C150" s="4" t="inlineStr">
        <is>
          <t>Not stated</t>
        </is>
      </c>
      <c r="D150" s="4" t="inlineStr">
        <is>
          <t>The portal route is for applicants without prior financial support; funding terms are not stated on the pages checked</t>
        </is>
      </c>
      <c r="E150" s="4" t="inlineStr">
        <is>
          <t>apply either through our webportal (for international students) and anyone without prior financial support)</t>
        </is>
      </c>
      <c r="F150" s="4" t="inlineStr">
        <is>
          <t>https://hgsfp.physik.uni-heidelberg.de/howtoapply#start</t>
        </is>
      </c>
      <c r="G150" s="4" t="inlineStr"/>
      <c r="H150" s="4" t="inlineStr">
        <is>
          <t>2026-10-21</t>
        </is>
      </c>
    </row>
    <row r="151">
      <c r="A151" s="4" t="inlineStr">
        <is>
          <t>Heidelberg University</t>
        </is>
      </c>
      <c r="B151" s="4" t="inlineStr">
        <is>
          <t>Entry route</t>
        </is>
      </c>
      <c r="C151" s="4" t="inlineStr">
        <is>
          <t>Master's usually required</t>
        </is>
      </c>
      <c r="D151" s="4" t="inlineStr">
        <is>
          <t>Master's in physics normally required (German grade 2.0, about B+). Exceptional candidates with 4 years of physics can enter an integrated 4+4 master/doctoral track</t>
        </is>
      </c>
      <c r="E151" s="4" t="inlineStr">
        <is>
          <t>the usual requirement is that students must have obtained the minimum of a Master´s degree in Physics or equivalent.  ||  Excellent candidates who have completed four years of study in physics can be admitted to the integrated master/doctoral (4+4) programme of the HGSFP (https://hgsfp.physik.uni-heidelberg.de/howtoapply/integratedmasterdoctoral#start)</t>
        </is>
      </c>
      <c r="F151" s="4" t="inlineStr">
        <is>
          <t>https://hgsfp.physik.uni-heidelberg.de/howtoapply/admissionrequirements#start</t>
        </is>
      </c>
      <c r="G151" s="4" t="inlineStr"/>
      <c r="H151" s="4" t="inlineStr">
        <is>
          <t>2026-10-21</t>
        </is>
      </c>
    </row>
    <row r="152">
      <c r="A152" s="4" t="inlineStr">
        <is>
          <t>Heidelberg University and Max Planck Institute for Astronomy (MPIA)</t>
        </is>
      </c>
      <c r="B152" s="4" t="inlineStr">
        <is>
          <t>Deadline (2027 entry)</t>
        </is>
      </c>
      <c r="C152" s="4" t="inlineStr">
        <is>
          <t>2026-11-03</t>
        </is>
      </c>
      <c r="D152" s="4" t="inlineStr">
        <is>
          <t>Nov 3, 2026, 14:00 CET for fall 2027 entry; the application and both reference letters must arrive by then. Interviews Feb 1–5, 2027</t>
        </is>
      </c>
      <c r="E152" s="4" t="inlineStr">
        <is>
          <t>The deadline for next term (fall 2027) applications is November 3, 2026, at 14:00 CET. | Applications must have arrived by the deadline, including all material and reference letters.  ||  Interviews in Heidelberg will be carried out February 1-5, 2027. (https://www.imprs-hd.mpg.de/3192/Application)</t>
        </is>
      </c>
      <c r="F152" s="4" t="inlineStr">
        <is>
          <t>https://www.imprs-hd.mpg.de/3354/How-to-apply</t>
        </is>
      </c>
      <c r="G152" s="4" t="inlineStr">
        <is>
          <t>act by 2026-11-03</t>
        </is>
      </c>
      <c r="H152" s="4" t="inlineStr">
        <is>
          <t>2026-10-21</t>
        </is>
      </c>
    </row>
    <row r="153">
      <c r="A153" s="4" t="inlineStr">
        <is>
          <t>Heidelberg University and Max Planck Institute for Astronomy (MPIA)</t>
        </is>
      </c>
      <c r="B153" s="4" t="inlineStr">
        <is>
          <t>Application fee</t>
        </is>
      </c>
      <c r="C153" s="4" t="inlineStr">
        <is>
          <t>Not stated</t>
        </is>
      </c>
      <c r="D153" s="4" t="inlineStr">
        <is>
          <t>Not stated on the page checked</t>
        </is>
      </c>
      <c r="E153" s="4" t="inlineStr">
        <is>
          <t>(no statement found)</t>
        </is>
      </c>
      <c r="F153" s="4" t="inlineStr">
        <is>
          <t>https://www.imprs-hd.mpg.de/3192/Application</t>
        </is>
      </c>
      <c r="G153" s="4" t="inlineStr"/>
      <c r="H153" s="4" t="inlineStr">
        <is>
          <t>2026-10-21</t>
        </is>
      </c>
    </row>
    <row r="154">
      <c r="A154" s="4" t="inlineStr">
        <is>
          <t>Heidelberg University and Max Planck Institute for Astronomy (MPIA)</t>
        </is>
      </c>
      <c r="B154" s="4" t="inlineStr">
        <is>
          <t>Intl fee waiver</t>
        </is>
      </c>
      <c r="C154" s="4" t="inlineStr">
        <is>
          <t>Not stated</t>
        </is>
      </c>
      <c r="D154" s="4" t="inlineStr">
        <is>
          <t>Not stated on the page checked</t>
        </is>
      </c>
      <c r="E154" s="4" t="inlineStr">
        <is>
          <t>(no statement found)</t>
        </is>
      </c>
      <c r="F154" s="4" t="inlineStr">
        <is>
          <t>https://www.imprs-hd.mpg.de/3192/Application</t>
        </is>
      </c>
      <c r="G154" s="4" t="inlineStr"/>
      <c r="H154" s="4" t="inlineStr">
        <is>
          <t>2026-10-21</t>
        </is>
      </c>
    </row>
    <row r="155">
      <c r="A155" s="4" t="inlineStr">
        <is>
          <t>Heidelberg University and Max Planck Institute for Astronomy (MPIA)</t>
        </is>
      </c>
      <c r="B155" s="4" t="inlineStr">
        <is>
          <t>GRE General</t>
        </is>
      </c>
      <c r="C155" s="4" t="inlineStr">
        <is>
          <t>Not stated</t>
        </is>
      </c>
      <c r="D155" s="4" t="inlineStr">
        <is>
          <t>Not stated on the page checked</t>
        </is>
      </c>
      <c r="E155" s="4" t="inlineStr">
        <is>
          <t>(no statement found)</t>
        </is>
      </c>
      <c r="F155" s="4" t="inlineStr">
        <is>
          <t>https://www.imprs-hd.mpg.de/3334/Qualifications</t>
        </is>
      </c>
      <c r="G155" s="4" t="inlineStr"/>
      <c r="H155" s="4" t="inlineStr">
        <is>
          <t>2026-10-21</t>
        </is>
      </c>
    </row>
    <row r="156">
      <c r="A156" s="4" t="inlineStr">
        <is>
          <t>Heidelberg University and Max Planck Institute for Astronomy (MPIA)</t>
        </is>
      </c>
      <c r="B156" s="4" t="inlineStr">
        <is>
          <t>Physics GRE</t>
        </is>
      </c>
      <c r="C156" s="4" t="inlineStr">
        <is>
          <t>Not stated</t>
        </is>
      </c>
      <c r="D156" s="4" t="inlineStr">
        <is>
          <t>Not stated on the page checked</t>
        </is>
      </c>
      <c r="E156" s="4" t="inlineStr">
        <is>
          <t>(no statement found)</t>
        </is>
      </c>
      <c r="F156" s="4" t="inlineStr">
        <is>
          <t>https://www.imprs-hd.mpg.de/3334/Qualifications</t>
        </is>
      </c>
      <c r="G156" s="4" t="inlineStr"/>
      <c r="H156" s="4" t="inlineStr">
        <is>
          <t>2026-10-21</t>
        </is>
      </c>
    </row>
    <row r="157">
      <c r="A157" s="4" t="inlineStr">
        <is>
          <t>Heidelberg University and Max Planck Institute for Astronomy (MPIA)</t>
        </is>
      </c>
      <c r="B157" s="4" t="inlineStr">
        <is>
          <t>TOEFL minimum</t>
        </is>
      </c>
      <c r="C157" s="4" t="inlineStr">
        <is>
          <t>Not stated</t>
        </is>
      </c>
      <c r="D157" s="4" t="inlineStr">
        <is>
          <t>No English test required, so no minimum score</t>
        </is>
      </c>
      <c r="E157" s="4" t="inlineStr">
        <is>
          <t>IMPRS-HD does not require a test of English language proficiency.</t>
        </is>
      </c>
      <c r="F157" s="4" t="inlineStr">
        <is>
          <t>https://www.imprs-hd.mpg.de/3334/Qualifications</t>
        </is>
      </c>
      <c r="G157" s="4" t="inlineStr"/>
      <c r="H157" s="4" t="inlineStr">
        <is>
          <t>2026-10-21</t>
        </is>
      </c>
    </row>
    <row r="158">
      <c r="A158" s="4" t="inlineStr">
        <is>
          <t>Heidelberg University and Max Planck Institute for Astronomy (MPIA)</t>
        </is>
      </c>
      <c r="B158" s="4" t="inlineStr">
        <is>
          <t>English-test waiver (English-medium degree)</t>
        </is>
      </c>
      <c r="C158" s="4" t="inlineStr">
        <is>
          <t>Yes</t>
        </is>
      </c>
      <c r="D158" s="4" t="inlineStr">
        <is>
          <t>No English test required; communication skills are checked at interview (optional proof may help non-native speakers)</t>
        </is>
      </c>
      <c r="E158" s="4" t="inlineStr">
        <is>
          <t>IMPRS-HD does not require a test of English language proficiency. We prefer to check communication skills during the interviews.</t>
        </is>
      </c>
      <c r="F158" s="4" t="inlineStr">
        <is>
          <t>https://www.imprs-hd.mpg.de/3334/Qualifications</t>
        </is>
      </c>
      <c r="G158" s="4" t="inlineStr"/>
      <c r="H158" s="4" t="inlineStr">
        <is>
          <t>2026-10-21</t>
        </is>
      </c>
    </row>
    <row r="159">
      <c r="A159" s="4" t="inlineStr">
        <is>
          <t>Heidelberg University and Max Planck Institute for Astronomy (MPIA)</t>
        </is>
      </c>
      <c r="B159" s="4" t="inlineStr">
        <is>
          <t>Supervisor before admission</t>
        </is>
      </c>
      <c r="C159" s="4" t="inlineStr">
        <is>
          <t>Not required</t>
        </is>
      </c>
      <c r="D159" s="4" t="inlineStr">
        <is>
          <t>A central committee screens applications; shortlisted files go to all potential supervisors and an interested supervisor triggers an interview. The project supervisor makes the final offer</t>
        </is>
      </c>
      <c r="E159" s="4" t="inlineStr">
        <is>
          <t>The application material of shortlisted candidates is then made available to all potential supervisors in Heidelberg. When a supervisor points out interest in an applicant, this applicant can then be considered for an invitation for an interview  ||  The final decision to offer a thesis project to an applicant is made by the supervisor of that project (https://www.imprs-hd.mpg.de/3192/Application)</t>
        </is>
      </c>
      <c r="F159" s="4" t="inlineStr">
        <is>
          <t>https://www.imprs-hd.mpg.de/3344/Evaluation</t>
        </is>
      </c>
      <c r="G159" s="4" t="inlineStr"/>
      <c r="H159" s="4" t="inlineStr">
        <is>
          <t>2026-10-21</t>
        </is>
      </c>
    </row>
    <row r="160">
      <c r="A160" s="4" t="inlineStr">
        <is>
          <t>Heidelberg University and Max Planck Institute for Astronomy (MPIA)</t>
        </is>
      </c>
      <c r="B160" s="4" t="inlineStr">
        <is>
          <t>PhD funding</t>
        </is>
      </c>
      <c r="C160" s="4" t="inlineStr">
        <is>
          <t>Guaranteed</t>
        </is>
      </c>
      <c r="D160" s="4" t="inlineStr">
        <is>
          <t>Official offers come with funding, typically a 3+1-year contract; MSc holders get about EUR 1,800–2,000 net/month (amount and terms depend on the funding source)</t>
        </is>
      </c>
      <c r="E160" s="4" t="inlineStr">
        <is>
          <t>Together with the offer of a PhD project, financial support is offered. | if there is an “official” offer, it comes with funding. | IMPRS students holding a MSc degree equivalent will receive a fellowship for a period of three-four years with a net income of EUR 1800-2000 per month.</t>
        </is>
      </c>
      <c r="F160" s="4" t="inlineStr">
        <is>
          <t>https://www.imprs-hd.mpg.de/3374/Fellowships</t>
        </is>
      </c>
      <c r="G160" s="4" t="inlineStr"/>
      <c r="H160" s="4" t="inlineStr">
        <is>
          <t>2026-10-21</t>
        </is>
      </c>
    </row>
    <row r="161">
      <c r="A161" s="4" t="inlineStr">
        <is>
          <t>Heidelberg University and Max Planck Institute for Astronomy (MPIA)</t>
        </is>
      </c>
      <c r="B161" s="4" t="inlineStr">
        <is>
          <t>Entry route</t>
        </is>
      </c>
      <c r="C161" s="4" t="inlineStr">
        <is>
          <t>Master's usually required</t>
        </is>
      </c>
      <c r="D161" s="4" t="inlineStr">
        <is>
          <t>MSc in physics or equivalent (with a substantial master's thesis) typically required; exceptional 4-year BSc holders can enter the 4+4 PhD programme</t>
        </is>
      </c>
      <c r="E161" s="4" t="inlineStr">
        <is>
          <t>Typically, applicants must have (or expect to have) a degree equivalent to the MSc in Physics | Exceptionally qualified applicants with a 4-yr BSc degree can be accepted for PhD studies in the so-called 4+4 PhD program.</t>
        </is>
      </c>
      <c r="F161" s="4" t="inlineStr">
        <is>
          <t>https://www.imprs-hd.mpg.de/3334/Qualifications</t>
        </is>
      </c>
      <c r="G161" s="4" t="inlineStr"/>
      <c r="H161" s="4" t="inlineStr">
        <is>
          <t>2026-10-21</t>
        </is>
      </c>
    </row>
    <row r="162">
      <c r="A162" s="4" t="inlineStr">
        <is>
          <t>ICFO – The Institute of Photonic Sciences</t>
        </is>
      </c>
      <c r="B162" s="4" t="inlineStr">
        <is>
          <t>Deadline (2027 entry)</t>
        </is>
      </c>
      <c r="C162" s="4" t="inlineStr">
        <is>
          <t>Per position</t>
        </is>
      </c>
      <c r="D162" s="4" t="inlineStr">
        <is>
          <t>Apply only through calls/openings on ICFOjobs, each with its own deadline. No PhD call was open on 2026-10-21; candidates may contact group leaders meanwhile.</t>
        </is>
      </c>
      <c r="E162" s="4" t="inlineStr">
        <is>
          <t>Please consult openings for further information on available projects and positions, as well as for elegibility, conditions, required application material and deadlines.  ||  All candidates must apply to a call through the ICFOJobs Website. | No calls available for Phd Students (https://www.icfo.eu/studies/phd-program/general-eligibility/)</t>
        </is>
      </c>
      <c r="F162" s="4" t="inlineStr">
        <is>
          <t>https://jobs.icfo.eu/</t>
        </is>
      </c>
      <c r="G162" s="4" t="inlineStr"/>
      <c r="H162" s="4" t="inlineStr">
        <is>
          <t>2026-10-21</t>
        </is>
      </c>
    </row>
    <row r="163">
      <c r="A163" s="4" t="inlineStr">
        <is>
          <t>ICFO – The Institute of Photonic Sciences</t>
        </is>
      </c>
      <c r="B163" s="4" t="inlineStr">
        <is>
          <t>Application fee</t>
        </is>
      </c>
      <c r="C163" s="4" t="inlineStr">
        <is>
          <t>Not stated</t>
        </is>
      </c>
      <c r="D163" s="4" t="inlineStr">
        <is>
          <t>Not stated on the page checked</t>
        </is>
      </c>
      <c r="E163" s="4" t="inlineStr">
        <is>
          <t>(no statement found)</t>
        </is>
      </c>
      <c r="F163" s="4" t="inlineStr">
        <is>
          <t>https://www.icfo.eu/studies/phd-program/general-eligibility/</t>
        </is>
      </c>
      <c r="G163" s="4" t="inlineStr"/>
      <c r="H163" s="4" t="inlineStr">
        <is>
          <t>2026-10-21</t>
        </is>
      </c>
    </row>
    <row r="164">
      <c r="A164" s="4" t="inlineStr">
        <is>
          <t>ICFO – The Institute of Photonic Sciences</t>
        </is>
      </c>
      <c r="B164" s="4" t="inlineStr">
        <is>
          <t>Intl fee waiver</t>
        </is>
      </c>
      <c r="C164" s="4" t="inlineStr">
        <is>
          <t>Not stated</t>
        </is>
      </c>
      <c r="D164" s="4" t="inlineStr">
        <is>
          <t>Not stated on the page checked</t>
        </is>
      </c>
      <c r="E164" s="4" t="inlineStr">
        <is>
          <t>(no statement found)</t>
        </is>
      </c>
      <c r="F164" s="4" t="inlineStr">
        <is>
          <t>https://www.icfo.eu/studies/phd-program/general-eligibility/</t>
        </is>
      </c>
      <c r="G164" s="4" t="inlineStr"/>
      <c r="H164" s="4" t="inlineStr">
        <is>
          <t>2026-10-21</t>
        </is>
      </c>
    </row>
    <row r="165">
      <c r="A165" s="4" t="inlineStr">
        <is>
          <t>ICFO – The Institute of Photonic Sciences</t>
        </is>
      </c>
      <c r="B165" s="4" t="inlineStr">
        <is>
          <t>GRE General</t>
        </is>
      </c>
      <c r="C165" s="4" t="inlineStr">
        <is>
          <t>Not stated</t>
        </is>
      </c>
      <c r="D165" s="4" t="inlineStr">
        <is>
          <t>Not stated on the page checked</t>
        </is>
      </c>
      <c r="E165" s="4" t="inlineStr">
        <is>
          <t>(no statement found)</t>
        </is>
      </c>
      <c r="F165" s="4" t="inlineStr">
        <is>
          <t>https://www.icfo.eu/studies/phd-program/general-eligibility/</t>
        </is>
      </c>
      <c r="G165" s="4" t="inlineStr"/>
      <c r="H165" s="4" t="inlineStr">
        <is>
          <t>2026-10-21</t>
        </is>
      </c>
    </row>
    <row r="166">
      <c r="A166" s="4" t="inlineStr">
        <is>
          <t>ICFO – The Institute of Photonic Sciences</t>
        </is>
      </c>
      <c r="B166" s="4" t="inlineStr">
        <is>
          <t>Physics GRE</t>
        </is>
      </c>
      <c r="C166" s="4" t="inlineStr">
        <is>
          <t>Not stated</t>
        </is>
      </c>
      <c r="D166" s="4" t="inlineStr">
        <is>
          <t>Not stated on the page checked</t>
        </is>
      </c>
      <c r="E166" s="4" t="inlineStr">
        <is>
          <t>(no statement found)</t>
        </is>
      </c>
      <c r="F166" s="4" t="inlineStr">
        <is>
          <t>https://www.icfo.eu/studies/phd-program/general-eligibility/</t>
        </is>
      </c>
      <c r="G166" s="4" t="inlineStr"/>
      <c r="H166" s="4" t="inlineStr">
        <is>
          <t>2026-10-21</t>
        </is>
      </c>
    </row>
    <row r="167">
      <c r="A167" s="4" t="inlineStr">
        <is>
          <t>ICFO – The Institute of Photonic Sciences</t>
        </is>
      </c>
      <c r="B167" s="4" t="inlineStr">
        <is>
          <t>TOEFL minimum</t>
        </is>
      </c>
      <c r="C167" s="4" t="inlineStr">
        <is>
          <t>Not stated</t>
        </is>
      </c>
      <c r="D167" s="4" t="inlineStr">
        <is>
          <t>No test or minimum score stated; requires "a high working knowledge of English"</t>
        </is>
      </c>
      <c r="E167" s="4" t="inlineStr">
        <is>
          <t>A high working knowledge of English.</t>
        </is>
      </c>
      <c r="F167" s="4" t="inlineStr">
        <is>
          <t>https://www.icfo.eu/studies/phd-program/general-eligibility/</t>
        </is>
      </c>
      <c r="G167" s="4" t="inlineStr"/>
      <c r="H167" s="4" t="inlineStr">
        <is>
          <t>2026-10-21</t>
        </is>
      </c>
    </row>
    <row r="168">
      <c r="A168" s="4" t="inlineStr">
        <is>
          <t>ICFO – The Institute of Photonic Sciences</t>
        </is>
      </c>
      <c r="B168" s="4" t="inlineStr">
        <is>
          <t>English-test waiver (English-medium degree)</t>
        </is>
      </c>
      <c r="C168" s="4" t="inlineStr">
        <is>
          <t>Not stated</t>
        </is>
      </c>
      <c r="D168" s="4" t="inlineStr">
        <is>
          <t>No English test or waiver rule stated on the page checked</t>
        </is>
      </c>
      <c r="E168" s="4" t="inlineStr">
        <is>
          <t>(no statement found)</t>
        </is>
      </c>
      <c r="F168" s="4" t="inlineStr">
        <is>
          <t>https://www.icfo.eu/studies/phd-program/general-eligibility/</t>
        </is>
      </c>
      <c r="G168" s="4" t="inlineStr"/>
      <c r="H168" s="4" t="inlineStr">
        <is>
          <t>2026-10-21</t>
        </is>
      </c>
    </row>
    <row r="169">
      <c r="A169" s="4" t="inlineStr">
        <is>
          <t>ICFO – The Institute of Photonic Sciences</t>
        </is>
      </c>
      <c r="B169" s="4" t="inlineStr">
        <is>
          <t>Supervisor before admission</t>
        </is>
      </c>
      <c r="C169" s="4" t="inlineStr">
        <is>
          <t>Required</t>
        </is>
      </c>
      <c r="D169" s="4" t="inlineStr">
        <is>
          <t>Admission needs a pass from the admissions committee after interview AND an offer from at least one host research group with confirmed fellowship funding</t>
        </is>
      </c>
      <c r="E169" s="4" t="inlineStr">
        <is>
          <t>To be admitted into the program, candidates must pass the evaluation by the admissions committee following the interview in step 4a, and have an offer of acceptance into one or more host research groups with confirmed funding for the corresponding fellowship.</t>
        </is>
      </c>
      <c r="F169" s="4" t="inlineStr">
        <is>
          <t>https://www.icfo.eu/studies/phd-program/general-eligibility/</t>
        </is>
      </c>
      <c r="G169" s="4" t="inlineStr"/>
      <c r="H169" s="4" t="inlineStr">
        <is>
          <t>2026-10-21</t>
        </is>
      </c>
    </row>
    <row r="170">
      <c r="A170" s="4" t="inlineStr">
        <is>
          <t>ICFO – The Institute of Photonic Sciences</t>
        </is>
      </c>
      <c r="B170" s="4" t="inlineStr">
        <is>
          <t>PhD funding</t>
        </is>
      </c>
      <c r="C170" s="4" t="inlineStr">
        <is>
          <t>Guaranteed</t>
        </is>
      </c>
      <c r="D170" s="4" t="inlineStr">
        <is>
          <t>All admitted students are fully funded through (competitive) fellowships for the whole PhD; fellowships cover a 6-month trainee period plus a 4-year PhD period</t>
        </is>
      </c>
      <c r="E170" s="4" t="inlineStr">
        <is>
          <t>All students admitted into the program are fully funded through competitive fellowships.  ||  Regardless of the specific funding mechanism, ICFO PhD Fellows will be fully funded throughout the entire PhD Program. (https://www.icfo.eu/studies/phd-program/phd-fellowship-programs/)</t>
        </is>
      </c>
      <c r="F170" s="4" t="inlineStr">
        <is>
          <t>https://www.icfo.eu/studies/phd-program/</t>
        </is>
      </c>
      <c r="G170" s="4" t="inlineStr"/>
      <c r="H170" s="4" t="inlineStr">
        <is>
          <t>2026-10-21</t>
        </is>
      </c>
    </row>
    <row r="171">
      <c r="A171" s="4" t="inlineStr">
        <is>
          <t>ICFO – The Institute of Photonic Sciences</t>
        </is>
      </c>
      <c r="B171" s="4" t="inlineStr">
        <is>
          <t>Entry route</t>
        </is>
      </c>
      <c r="C171" s="4" t="inlineStr">
        <is>
          <t>Master's usually required</t>
        </is>
      </c>
      <c r="D171" s="4" t="inlineStr">
        <is>
          <t>Master-equivalent degree required by the PhD start date; non-EHEA degrees must equal an official Spanish master's and give access to doctoral studies in the issuing country</t>
        </is>
      </c>
      <c r="E171" s="4" t="inlineStr">
        <is>
          <t>An internationally recognized Master-equivalent degree. The degree must be completed by the start of your prospective PhD at ICFO, at the latest | Degrees issued outside EHEA must offer a level of training equivalent to an official Spanish master’s degree and qualify the holder for admission to doctoral studies in the country where it was issued.</t>
        </is>
      </c>
      <c r="F171" s="4" t="inlineStr">
        <is>
          <t>https://www.icfo.eu/studies/phd-program/general-eligibility/</t>
        </is>
      </c>
      <c r="G171" s="4" t="inlineStr"/>
      <c r="H171" s="4" t="inlineStr">
        <is>
          <t>2026-10-21</t>
        </is>
      </c>
    </row>
    <row r="172">
      <c r="A172" s="4" t="inlineStr">
        <is>
          <t>Imperial College London</t>
        </is>
      </c>
      <c r="B172" s="4" t="inlineStr">
        <is>
          <t>Deadline (2027 entry)</t>
        </is>
      </c>
      <c r="C172" s="4" t="inlineStr">
        <is>
          <t>2026-11-02</t>
        </is>
      </c>
      <c r="D172" s="4" t="inlineStr">
        <is>
          <t>President's PhD Scholarship (college-wide, open to all nationalities) rounds: apply by Nov 2, 2026, Jan 11, 2027 or Mar 1, 2027 (23:59 UK time). Physics accepts PhD applications all year; the Theory group lists a Feb 1 deadline 'each year' (shown with the 2026 date).</t>
        </is>
      </c>
      <c r="E172" s="4" t="inlineStr">
        <is>
          <t>Applicants who apply by 23:59 (UK time) 2 November 2026 and are awarded a scholarship will be notified by 31 January 2027. | Applicants who apply by 23:59 (UK time) 11 January 2027 | Applicants who apply by 23:59 (UK time) 1 March 2027  ||  PhD applications can be made all year-round, but we encourage all applicants interested in scholarships to apply as early as possible, since most scholarships have early deadlines driven by the funding requirements. (https://www.imperial.ac.uk/natural-sciences/departments/physics/research/communities/light/phd-opportunities/)  ||  Our application deadline is *** 1 February 2026*** each year. (https://www.imperial.ac.uk/a-z-research/theoretical-physics/postgraduate-study/phd-programme-/)</t>
        </is>
      </c>
      <c r="F172" s="4" t="inlineStr">
        <is>
          <t>https://www.imperial.ac.uk/study/fees-and-funding/postgraduate-doctoral/grants-scholarships/presidents-phd/</t>
        </is>
      </c>
      <c r="G172" s="4" t="inlineStr">
        <is>
          <t>act by 2026-11-02</t>
        </is>
      </c>
      <c r="H172" s="4" t="inlineStr">
        <is>
          <t>2026-10-21</t>
        </is>
      </c>
    </row>
    <row r="173">
      <c r="A173" s="4" t="inlineStr">
        <is>
          <t>Imperial College London</t>
        </is>
      </c>
      <c r="B173" s="4" t="inlineStr">
        <is>
          <t>Application fee</t>
        </is>
      </c>
      <c r="C173" s="4" t="inlineStr">
        <is>
          <t>0 (no fee)</t>
        </is>
      </c>
      <c r="D173" s="4" t="inlineStr">
        <is>
          <t>No application fee for doctoral degrees such as the PhD (master's applications cost GBP 90)</t>
        </is>
      </c>
      <c r="E173" s="4" t="inlineStr">
        <is>
          <t>You do not need to pay an application fee for: | Postgraduate Doctoral degrees (e.g. PhD, EngD) | £90 for all Master's applications (MSc, MPH, MRes)</t>
        </is>
      </c>
      <c r="F173" s="4" t="inlineStr">
        <is>
          <t>https://www.imperial.ac.uk/study/apply/postgraduate-taught/application-process/application-fee/</t>
        </is>
      </c>
      <c r="G173" s="4" t="inlineStr"/>
      <c r="H173" s="4" t="inlineStr">
        <is>
          <t>2026-10-21</t>
        </is>
      </c>
    </row>
    <row r="174">
      <c r="A174" s="4" t="inlineStr">
        <is>
          <t>Imperial College London</t>
        </is>
      </c>
      <c r="B174" s="4" t="inlineStr">
        <is>
          <t>Intl fee waiver</t>
        </is>
      </c>
      <c r="C174" s="4" t="inlineStr">
        <is>
          <t>No fee</t>
        </is>
      </c>
      <c r="D174" s="4" t="inlineStr">
        <is>
          <t>PhD applications carry no application fee, so no waiver is needed</t>
        </is>
      </c>
      <c r="E174" s="4" t="inlineStr">
        <is>
          <t>Postgraduate Doctoral degrees (e.g. PhD, EngD)</t>
        </is>
      </c>
      <c r="F174" s="4" t="inlineStr">
        <is>
          <t>https://www.imperial.ac.uk/study/apply/postgraduate-taught/application-process/application-fee/</t>
        </is>
      </c>
      <c r="G174" s="4" t="inlineStr"/>
      <c r="H174" s="4" t="inlineStr">
        <is>
          <t>2026-10-21</t>
        </is>
      </c>
    </row>
    <row r="175">
      <c r="A175" s="4" t="inlineStr">
        <is>
          <t>Imperial College London</t>
        </is>
      </c>
      <c r="B175" s="4" t="inlineStr">
        <is>
          <t>GRE General</t>
        </is>
      </c>
      <c r="C175" s="4" t="inlineStr">
        <is>
          <t>Not stated</t>
        </is>
      </c>
      <c r="D175" s="4" t="inlineStr">
        <is>
          <t>Not stated</t>
        </is>
      </c>
      <c r="E175" s="4" t="inlineStr">
        <is>
          <t>(no statement found)</t>
        </is>
      </c>
      <c r="F175" s="4" t="inlineStr">
        <is>
          <t>https://www.imperial.ac.uk/natural-sciences/departments/physics/students/postgraduate-admissions/phd-opportunities/</t>
        </is>
      </c>
      <c r="G175" s="4" t="inlineStr"/>
      <c r="H175" s="4" t="inlineStr">
        <is>
          <t>2026-10-21</t>
        </is>
      </c>
    </row>
    <row r="176">
      <c r="A176" s="4" t="inlineStr">
        <is>
          <t>Imperial College London</t>
        </is>
      </c>
      <c r="B176" s="4" t="inlineStr">
        <is>
          <t>Physics GRE</t>
        </is>
      </c>
      <c r="C176" s="4" t="inlineStr">
        <is>
          <t>Not stated</t>
        </is>
      </c>
      <c r="D176" s="4" t="inlineStr">
        <is>
          <t>Not stated</t>
        </is>
      </c>
      <c r="E176" s="4" t="inlineStr">
        <is>
          <t>(no statement found)</t>
        </is>
      </c>
      <c r="F176" s="4" t="inlineStr">
        <is>
          <t>https://www.imperial.ac.uk/natural-sciences/departments/physics/students/postgraduate-admissions/phd-opportunities/</t>
        </is>
      </c>
      <c r="G176" s="4" t="inlineStr"/>
      <c r="H176" s="4" t="inlineStr">
        <is>
          <t>2026-10-21</t>
        </is>
      </c>
    </row>
    <row r="177">
      <c r="A177" s="4" t="inlineStr">
        <is>
          <t>Imperial College London</t>
        </is>
      </c>
      <c r="B177" s="4" t="inlineStr">
        <is>
          <t>TOEFL minimum</t>
        </is>
      </c>
      <c r="C177" s="4" t="inlineStr">
        <is>
          <t>Not stated</t>
        </is>
      </c>
      <c r="D177" s="4" t="inlineStr">
        <is>
          <t>Not stated on the pages checked (the Physics PhD's Standard or Higher English level was not shown)</t>
        </is>
      </c>
      <c r="E177" s="4" t="inlineStr">
        <is>
          <t>(no statement found)</t>
        </is>
      </c>
      <c r="F177" s="4" t="inlineStr">
        <is>
          <t>https://www.imperial.ac.uk/natural-sciences/departments/physics/students/postgraduate-admissions/phd-opportunities/</t>
        </is>
      </c>
      <c r="G177" s="4" t="inlineStr"/>
      <c r="H177" s="4" t="inlineStr">
        <is>
          <t>2026-10-21</t>
        </is>
      </c>
    </row>
    <row r="178">
      <c r="A178" s="4" t="inlineStr">
        <is>
          <t>Imperial College London</t>
        </is>
      </c>
      <c r="B178" s="4" t="inlineStr">
        <is>
          <t>English-test waiver (English-medium degree)</t>
        </is>
      </c>
      <c r="C178" s="4" t="inlineStr">
        <is>
          <t>No</t>
        </is>
      </c>
      <c r="D178" s="4" t="inlineStr">
        <is>
          <t>Exempt only with a UK-degree-equivalent qualification from a listed country (Australia, Canada, Guyana, Ireland, Malta, New Zealand, South Africa, UK, USA, West Indies); India is not listed</t>
        </is>
      </c>
      <c r="E178" s="4" t="inlineStr">
        <is>
          <t>You do not need to prove your knowledge of English as part of your application if you've completed a qualification equivalent to a UK degree in one of the following countries:</t>
        </is>
      </c>
      <c r="F178" s="4" t="inlineStr">
        <is>
          <t>https://www.imperial.ac.uk/study/apply/english-language/english-language-exemption/</t>
        </is>
      </c>
      <c r="G178" s="4" t="inlineStr"/>
      <c r="H178" s="4" t="inlineStr">
        <is>
          <t>2026-10-21</t>
        </is>
      </c>
    </row>
    <row r="179">
      <c r="A179" s="4" t="inlineStr">
        <is>
          <t>Imperial College London</t>
        </is>
      </c>
      <c r="B179" s="4" t="inlineStr">
        <is>
          <t>Supervisor before admission</t>
        </is>
      </c>
      <c r="C179" s="4" t="inlineStr">
        <is>
          <t>Not required</t>
        </is>
      </c>
      <c r="D179" s="4" t="inlineStr">
        <is>
          <t>Not needed before applying: the Theory group says you need not contact a supervisor, and the Matter community considers you for all available projects. Naming a preferred supervisor helps route your application (Light community). Exception: President's PhD Scholarship applicants must already have a supervisor who has agreed to supervise them.</t>
        </is>
      </c>
      <c r="E179" s="4" t="inlineStr">
        <is>
          <t>Also, it is not necessary for you to contact a prospective supervisor directly, you can simply indicate potential names of supervisors you may interested in working with.  ||  You can highlight your preference for a specific project in your application. However, we will consider you for all available projects. (https://www.imperial.ac.uk/natural-sciences/departments/physics/research/communities/matter/phd-opportunities/)  ||  PROPOSED SUPERVISOR: Naming a prospective supervisor is the most helpful information that you could provide to ensure that your application will be correctly allocated. (https://www.imperial.ac.uk/natural-sciences/departments/physics/research/communities/light/phd-opportunities/)  ||  You must have made contact with a supervisor in an academic department at Imperial College London who has agreed to supervise your research project. (https://www.imperial.ac.uk/study/fees-and-funding/postgraduate-doctoral/grants-scholarships/presidents-phd/)</t>
        </is>
      </c>
      <c r="F179" s="4" t="inlineStr">
        <is>
          <t>https://www.imperial.ac.uk/a-z-research/theoretical-physics/postgraduate-study/phd-programme-/</t>
        </is>
      </c>
      <c r="G179" s="4" t="inlineStr"/>
      <c r="H179" s="4" t="inlineStr">
        <is>
          <t>2026-10-21</t>
        </is>
      </c>
    </row>
    <row r="180">
      <c r="A180" s="4" t="inlineStr">
        <is>
          <t>Imperial College London</t>
        </is>
      </c>
      <c r="B180" s="4" t="inlineStr">
        <is>
          <t>PhD funding</t>
        </is>
      </c>
      <c r="C180" s="4" t="inlineStr">
        <is>
          <t>Competitive</t>
        </is>
      </c>
      <c r="D180" s="4" t="inlineStr">
        <is>
          <t>A limited number of fully funded studentships (fees and living costs). Studentships for overseas applicants are very restricted: most overseas students bring home-country scholarships or self-fund (Matter community page). President's PhD Scholarships are open to all nationalities but very competitive.</t>
        </is>
      </c>
      <c r="E180" s="4" t="inlineStr">
        <is>
          <t>We typically have a limited number of fully-funded PhD studentships that pay both your fees and your living expenses. | Studentships for overseas applicants are very restricted. We typically take a few overseas students who have scholarships from their home country, or in some cases are self-funded.  ||  This competitive scheme has higher than usual eligibility requirements, attracting candidates that show excellent academic performance and promising research potential. (https://www.imperial.ac.uk/study/fees-and-funding/postgraduate-doctoral/grants-scholarships/presidents-phd/)</t>
        </is>
      </c>
      <c r="F180" s="4" t="inlineStr">
        <is>
          <t>https://www.imperial.ac.uk/natural-sciences/departments/physics/research/communities/matter/phd-opportunities/</t>
        </is>
      </c>
      <c r="G180" s="4" t="inlineStr"/>
      <c r="H180" s="4" t="inlineStr">
        <is>
          <t>2026-10-21</t>
        </is>
      </c>
    </row>
    <row r="181">
      <c r="A181" s="4" t="inlineStr">
        <is>
          <t>Imperial College London</t>
        </is>
      </c>
      <c r="B181" s="4" t="inlineStr">
        <is>
          <t>Entry route</t>
        </is>
      </c>
      <c r="C181" s="4" t="inlineStr">
        <is>
          <t>Direct from bachelor's</t>
        </is>
      </c>
      <c r="D181" s="4" t="inlineStr">
        <is>
          <t>A First-class or at least 2:1 honours degree (or equivalent), typically in Physics, with a Direct PhD option. The Theory group says an MSc is a significant advantage but not a prerequisite.</t>
        </is>
      </c>
      <c r="E181" s="4" t="inlineStr">
        <is>
          <t>Applicants should have, or be expecting, a First Class honours degree, or at least an Upper Second Class honours (2:1) or equivalent degree.  ||  It is also a significant advantage to have done an MSc course in theoretical physics or the Cambridge Part III but this is not a pre-requisite. (https://www.imperial.ac.uk/a-z-research/theoretical-physics/postgraduate-study/phd-programme-/)</t>
        </is>
      </c>
      <c r="F181" s="4" t="inlineStr">
        <is>
          <t>https://www.imperial.ac.uk/natural-sciences/departments/physics/research/communities/light/phd-opportunities/</t>
        </is>
      </c>
      <c r="G181" s="4" t="inlineStr"/>
      <c r="H181" s="4" t="inlineStr">
        <is>
          <t>2026-10-21</t>
        </is>
      </c>
    </row>
    <row r="182">
      <c r="A182" s="4" t="inlineStr">
        <is>
          <t>Indiana University Bloomington</t>
        </is>
      </c>
      <c r="B182" s="4" t="inlineStr">
        <is>
          <t>Deadline (2027 entry)</t>
        </is>
      </c>
      <c r="C182" s="4" t="inlineStr">
        <is>
          <t>2026-12-15</t>
        </is>
      </c>
      <c r="D182" s="4" t="inlineStr">
        <is>
          <t>December 15 (year inferred); international documents must be received by then. Later applications considered only if positions remain. Dept also calls Dec 15 the priority date.</t>
        </is>
      </c>
      <c r="E182" s="4" t="inlineStr">
        <is>
          <t>The deadline for application submission for this program is December 15 (all applicants). | International student applications and supporting documents must be received by the graduate applications office no later than December 15.  ||  The priority date for admission is December 15. (https://physics.indiana.edu/graduate/how-to-apply/index.html)</t>
        </is>
      </c>
      <c r="F182" s="4" t="inlineStr">
        <is>
          <t>https://physics.indiana.edu/graduate/how-to-apply/international-applications.html</t>
        </is>
      </c>
      <c r="G182" s="4" t="inlineStr">
        <is>
          <t>year inferred</t>
        </is>
      </c>
      <c r="H182" s="4" t="inlineStr">
        <is>
          <t>2026-10-21</t>
        </is>
      </c>
    </row>
    <row r="183">
      <c r="A183" s="4" t="inlineStr">
        <is>
          <t>Indiana University Bloomington</t>
        </is>
      </c>
      <c r="B183" s="4" t="inlineStr">
        <is>
          <t>Application fee</t>
        </is>
      </c>
      <c r="C183" s="4" t="inlineStr">
        <is>
          <t>70 USD</t>
        </is>
      </c>
      <c r="D183" s="4" t="inlineStr">
        <is>
          <t>USD 70, paid on submission</t>
        </is>
      </c>
      <c r="E183" s="4" t="inlineStr">
        <is>
          <t>Application fee of US $70.00. You will pay this fee at the time you submit your online application.</t>
        </is>
      </c>
      <c r="F183" s="4" t="inlineStr">
        <is>
          <t>https://physics.indiana.edu/graduate/how-to-apply/international-applications.html</t>
        </is>
      </c>
      <c r="G183" s="4" t="inlineStr"/>
      <c r="H183" s="4" t="inlineStr">
        <is>
          <t>2026-10-21</t>
        </is>
      </c>
    </row>
    <row r="184">
      <c r="A184" s="4" t="inlineStr">
        <is>
          <t>Indiana University Bloomington</t>
        </is>
      </c>
      <c r="B184" s="4" t="inlineStr">
        <is>
          <t>Intl fee waiver</t>
        </is>
      </c>
      <c r="C184" s="4" t="inlineStr">
        <is>
          <t>None</t>
        </is>
      </c>
      <c r="D184" s="4" t="inlineStr">
        <is>
          <t>Department states no fee waivers are granted</t>
        </is>
      </c>
      <c r="E184" s="4" t="inlineStr">
        <is>
          <t>No fee waivers are granted.</t>
        </is>
      </c>
      <c r="F184" s="4" t="inlineStr">
        <is>
          <t>https://physics.indiana.edu/graduate/how-to-apply/international-applications.html</t>
        </is>
      </c>
      <c r="G184" s="4" t="inlineStr"/>
      <c r="H184" s="4" t="inlineStr">
        <is>
          <t>2026-10-21</t>
        </is>
      </c>
    </row>
    <row r="185">
      <c r="A185" s="4" t="inlineStr">
        <is>
          <t>Indiana University Bloomington</t>
        </is>
      </c>
      <c r="B185" s="4" t="inlineStr">
        <is>
          <t>GRE General</t>
        </is>
      </c>
      <c r="C185" s="4" t="inlineStr">
        <is>
          <t>Optional</t>
        </is>
      </c>
      <c r="D185" s="4" t="inlineStr">
        <is>
          <t>General GRE optional for Fall 2027; no minimum scores; full consideration without GRE</t>
        </is>
      </c>
      <c r="E185" s="4" t="inlineStr">
        <is>
          <t>Effective for the Fall 2027 application cycle, submission of the physics subject GRE score is highly recommended and submission of the general GRE score is optional. We impose no minimum scores and we will give full consideration to applications without GRE scores.</t>
        </is>
      </c>
      <c r="F185" s="4" t="inlineStr">
        <is>
          <t>https://physics.indiana.edu/graduate/how-to-apply/international-applications.html</t>
        </is>
      </c>
      <c r="G185" s="4" t="inlineStr"/>
      <c r="H185" s="4" t="inlineStr">
        <is>
          <t>2026-10-21</t>
        </is>
      </c>
    </row>
    <row r="186">
      <c r="A186" s="4" t="inlineStr">
        <is>
          <t>Indiana University Bloomington</t>
        </is>
      </c>
      <c r="B186" s="4" t="inlineStr">
        <is>
          <t>Physics GRE</t>
        </is>
      </c>
      <c r="C186" s="4" t="inlineStr">
        <is>
          <t>Recommended</t>
        </is>
      </c>
      <c r="D186" s="4" t="inlineStr">
        <is>
          <t>Physics GRE highly recommended for Fall 2027; no minimum; full consideration without it</t>
        </is>
      </c>
      <c r="E186" s="4" t="inlineStr">
        <is>
          <t>Effective for the Fall 2027 application cycle, submission of the physics subject GRE score is highly recommended and submission of the general GRE score is optional. We impose no minimum scores and we will give full consideration to applications without GRE scores.</t>
        </is>
      </c>
      <c r="F186" s="4" t="inlineStr">
        <is>
          <t>https://physics.indiana.edu/graduate/how-to-apply/international-applications.html</t>
        </is>
      </c>
      <c r="G186" s="4" t="inlineStr"/>
      <c r="H186" s="4" t="inlineStr">
        <is>
          <t>2026-10-21</t>
        </is>
      </c>
    </row>
    <row r="187">
      <c r="A187" s="4" t="inlineStr">
        <is>
          <t>Indiana University Bloomington</t>
        </is>
      </c>
      <c r="B187" s="4" t="inlineStr">
        <is>
          <t>TOEFL minimum</t>
        </is>
      </c>
      <c r="C187" s="4" t="inlineStr">
        <is>
          <t>80</t>
        </is>
      </c>
      <c r="D187" s="4" t="inlineStr">
        <is>
          <t>TOEFL iBT 80; IELTS 6.5; Duolingo 100 (TOEFL code 1324, dept code 76)</t>
        </is>
      </c>
      <c r="E187" s="4" t="inlineStr">
        <is>
          <t>Official Test of English as a Foreign Language (TOEFL) score report. A minimum score of 80 on the internet-based IBT TOEFL is required. Our TOEFL institution code is 1324, Dept. Code 76.</t>
        </is>
      </c>
      <c r="F187" s="4" t="inlineStr">
        <is>
          <t>https://physics.indiana.edu/graduate/how-to-apply/international-applications.html</t>
        </is>
      </c>
      <c r="G187" s="4" t="inlineStr"/>
      <c r="H187" s="4" t="inlineStr">
        <is>
          <t>2026-10-21</t>
        </is>
      </c>
    </row>
    <row r="188">
      <c r="A188" s="4" t="inlineStr">
        <is>
          <t>Indiana University Bloomington</t>
        </is>
      </c>
      <c r="B188" s="4" t="inlineStr">
        <is>
          <t>English-test waiver (English-medium degree)</t>
        </is>
      </c>
      <c r="C188" s="4" t="inlineStr">
        <is>
          <t>No</t>
        </is>
      </c>
      <c r="D188" s="4" t="inlineStr">
        <is>
          <t>No exemption route shown for graduate applicants: non-native speakers may be required to test regardless of where educated, and all non-native speakers seeking any financial aid must submit TOEFL/IELTS/Duolingo</t>
        </is>
      </c>
      <c r="E188" s="4" t="inlineStr">
        <is>
          <t>If your native language is not English, your department may require you to submit results for the TOEFL exam, regardless of where you were educated.  ||  All non-native English speakers who wish to be considered for financial aid of any type must demonstrate sufficient English proficiency by earning a sufficient score on the internet-based IBT TOEFL, IELTS, or DuoLingo. (https://physics.indiana.edu/graduate/how-to-apply/international-applications.html)</t>
        </is>
      </c>
      <c r="F188" s="4" t="inlineStr">
        <is>
          <t>https://bloomington.iu.edu/admissions/apply/international/english-proficiency.html</t>
        </is>
      </c>
      <c r="G188" s="4" t="inlineStr"/>
      <c r="H188" s="4" t="inlineStr">
        <is>
          <t>2026-10-21</t>
        </is>
      </c>
    </row>
    <row r="189">
      <c r="A189" s="4" t="inlineStr">
        <is>
          <t>Indiana University Bloomington</t>
        </is>
      </c>
      <c r="B189" s="4" t="inlineStr">
        <is>
          <t>Supervisor before admission</t>
        </is>
      </c>
      <c r="C189" s="4" t="inlineStr">
        <is>
          <t>Not stated</t>
        </is>
      </c>
      <c r="D189" s="4" t="inlineStr">
        <is>
          <t>Not stated on the page checked</t>
        </is>
      </c>
      <c r="E189" s="4" t="inlineStr">
        <is>
          <t>(no statement found)</t>
        </is>
      </c>
      <c r="F189" s="4" t="inlineStr">
        <is>
          <t>https://physics.indiana.edu/graduate/how-to-apply/international-applications.html</t>
        </is>
      </c>
      <c r="G189" s="4" t="inlineStr"/>
      <c r="H189" s="4" t="inlineStr">
        <is>
          <t>2026-10-21</t>
        </is>
      </c>
    </row>
    <row r="190">
      <c r="A190" s="4" t="inlineStr">
        <is>
          <t>Indiana University Bloomington</t>
        </is>
      </c>
      <c r="B190" s="4" t="inlineStr">
        <is>
          <t>PhD funding</t>
        </is>
      </c>
      <c r="C190" s="4" t="inlineStr">
        <is>
          <t>Typical</t>
        </is>
      </c>
      <c r="D190" s="4" t="inlineStr">
        <is>
          <t>PhD package typically provides full funding (TA/RA stipend plus tuition waiver covering most tuition)</t>
        </is>
      </c>
      <c r="E190" s="4" t="inlineStr">
        <is>
          <t>Our Ph.D. program offers a generous financial assistance package that typically provides full funding for our students.</t>
        </is>
      </c>
      <c r="F190" s="4" t="inlineStr">
        <is>
          <t>https://physics.indiana.edu/graduate/financial-support.html</t>
        </is>
      </c>
      <c r="G190" s="4" t="inlineStr"/>
      <c r="H190" s="4" t="inlineStr">
        <is>
          <t>2026-10-21</t>
        </is>
      </c>
    </row>
    <row r="191">
      <c r="A191" s="4" t="inlineStr">
        <is>
          <t>Indiana University Bloomington</t>
        </is>
      </c>
      <c r="B191" s="4" t="inlineStr">
        <is>
          <t>Entry route</t>
        </is>
      </c>
      <c r="C191" s="4" t="inlineStr">
        <is>
          <t>Not stated</t>
        </is>
      </c>
      <c r="D191" s="4" t="inlineStr">
        <is>
          <t>Not stated on the page checked</t>
        </is>
      </c>
      <c r="E191" s="4" t="inlineStr">
        <is>
          <t>(no statement found)</t>
        </is>
      </c>
      <c r="F191" s="4" t="inlineStr">
        <is>
          <t>https://physics.indiana.edu/graduate/how-to-apply/international-applications.html</t>
        </is>
      </c>
      <c r="G191" s="4" t="inlineStr"/>
      <c r="H191" s="4" t="inlineStr">
        <is>
          <t>2026-10-21</t>
        </is>
      </c>
    </row>
    <row r="192">
      <c r="A192" s="4" t="inlineStr">
        <is>
          <t>Johns Hopkins University</t>
        </is>
      </c>
      <c r="B192" s="4" t="inlineStr">
        <is>
          <t>Deadline (2027 entry)</t>
        </is>
      </c>
      <c r="C192" s="4" t="inlineStr">
        <is>
          <t>2026-12-15</t>
        </is>
      </c>
      <c r="D192" s="4" t="inlineStr">
        <is>
          <t>December 15 preceding September entry; year inferred. Vivien Thomas Scholars Initiative applicants must submit by Dec 1.</t>
        </is>
      </c>
      <c r="E192" s="4" t="inlineStr">
        <is>
          <t>The application deadline for students wishing to matriculate in September is the preceding December 15.</t>
        </is>
      </c>
      <c r="F192" s="4" t="inlineStr">
        <is>
          <t>https://physics-astronomy.jhu.edu/graduate/admissions/</t>
        </is>
      </c>
      <c r="G192" s="4" t="inlineStr">
        <is>
          <t>year inferred</t>
        </is>
      </c>
      <c r="H192" s="4" t="inlineStr">
        <is>
          <t>2026-10-21</t>
        </is>
      </c>
    </row>
    <row r="193">
      <c r="A193" s="4" t="inlineStr">
        <is>
          <t>Johns Hopkins University</t>
        </is>
      </c>
      <c r="B193" s="4" t="inlineStr">
        <is>
          <t>Application fee</t>
        </is>
      </c>
      <c r="C193" s="4" t="inlineStr">
        <is>
          <t>75 USD</t>
        </is>
      </c>
      <c r="D193" s="4" t="inlineStr">
        <is>
          <t>USD 75, non-refundable</t>
        </is>
      </c>
      <c r="E193" s="4" t="inlineStr">
        <is>
          <t>$75 non-refundable application fee.</t>
        </is>
      </c>
      <c r="F193" s="4" t="inlineStr">
        <is>
          <t>https://physics-astronomy.jhu.edu/graduate/admissions/</t>
        </is>
      </c>
      <c r="G193" s="4" t="inlineStr"/>
      <c r="H193" s="4" t="inlineStr">
        <is>
          <t>2026-10-21</t>
        </is>
      </c>
    </row>
    <row r="194">
      <c r="A194" s="4" t="inlineStr">
        <is>
          <t>Johns Hopkins University</t>
        </is>
      </c>
      <c r="B194" s="4" t="inlineStr">
        <is>
          <t>Intl fee waiver</t>
        </is>
      </c>
      <c r="C194" s="4" t="inlineStr">
        <is>
          <t>Not stated</t>
        </is>
      </c>
      <c r="D194" s="4" t="inlineStr">
        <is>
          <t>Page says the fee may be waived but gives no criteria; international eligibility not stated (JHU graduate admissions site blocked automated fetches)</t>
        </is>
      </c>
      <c r="E194" s="4" t="inlineStr">
        <is>
          <t>The application fee may be waived.</t>
        </is>
      </c>
      <c r="F194" s="4" t="inlineStr">
        <is>
          <t>https://physics-astronomy.jhu.edu/graduate/admissions/</t>
        </is>
      </c>
      <c r="G194" s="4" t="inlineStr"/>
      <c r="H194" s="4" t="inlineStr">
        <is>
          <t>2026-10-21</t>
        </is>
      </c>
    </row>
    <row r="195">
      <c r="A195" s="4" t="inlineStr">
        <is>
          <t>Johns Hopkins University</t>
        </is>
      </c>
      <c r="B195" s="4" t="inlineStr">
        <is>
          <t>GRE General</t>
        </is>
      </c>
      <c r="C195" s="4" t="inlineStr">
        <is>
          <t>Optional</t>
        </is>
      </c>
      <c r="D195" s="4" t="inlineStr">
        <is>
          <t>General GRE optional</t>
        </is>
      </c>
      <c r="E195" s="4" t="inlineStr">
        <is>
          <t>Note: submission of General GRE and Physics GRE scores is optional.</t>
        </is>
      </c>
      <c r="F195" s="4" t="inlineStr">
        <is>
          <t>https://physics-astronomy.jhu.edu/graduate/admissions/</t>
        </is>
      </c>
      <c r="G195" s="4" t="inlineStr"/>
      <c r="H195" s="4" t="inlineStr">
        <is>
          <t>2026-10-21</t>
        </is>
      </c>
    </row>
    <row r="196">
      <c r="A196" s="4" t="inlineStr">
        <is>
          <t>Johns Hopkins University</t>
        </is>
      </c>
      <c r="B196" s="4" t="inlineStr">
        <is>
          <t>Physics GRE</t>
        </is>
      </c>
      <c r="C196" s="4" t="inlineStr">
        <is>
          <t>Optional</t>
        </is>
      </c>
      <c r="D196" s="4" t="inlineStr">
        <is>
          <t>Physics GRE optional</t>
        </is>
      </c>
      <c r="E196" s="4" t="inlineStr">
        <is>
          <t>Note: submission of General GRE and Physics GRE scores is optional.</t>
        </is>
      </c>
      <c r="F196" s="4" t="inlineStr">
        <is>
          <t>https://physics-astronomy.jhu.edu/graduate/admissions/</t>
        </is>
      </c>
      <c r="G196" s="4" t="inlineStr"/>
      <c r="H196" s="4" t="inlineStr">
        <is>
          <t>2026-10-21</t>
        </is>
      </c>
    </row>
    <row r="197">
      <c r="A197" s="4" t="inlineStr">
        <is>
          <t>Johns Hopkins University</t>
        </is>
      </c>
      <c r="B197" s="4" t="inlineStr">
        <is>
          <t>TOEFL minimum</t>
        </is>
      </c>
      <c r="C197" s="4" t="inlineStr">
        <is>
          <t>100</t>
        </is>
      </c>
      <c r="D197" s="4" t="inlineStr">
        <is>
          <t>TOEFL iBT 100 is the preferred minimum (worded as a preference, not a hard cutoff); IELTS also accepted</t>
        </is>
      </c>
      <c r="E197" s="4" t="inlineStr">
        <is>
          <t>Johns Hopkins prefers a minimum score of 600 (paper-based) or 250 (computer-based) or 100 (Internet-based) on the Test of English as a Foreign Language (TOEFL).</t>
        </is>
      </c>
      <c r="F197" s="4" t="inlineStr">
        <is>
          <t>https://physics-astronomy.jhu.edu/graduate/admissions/</t>
        </is>
      </c>
      <c r="G197" s="4" t="inlineStr"/>
      <c r="H197" s="4" t="inlineStr">
        <is>
          <t>2026-10-21</t>
        </is>
      </c>
    </row>
    <row r="198">
      <c r="A198" s="4" t="inlineStr">
        <is>
          <t>Johns Hopkins University</t>
        </is>
      </c>
      <c r="B198" s="4" t="inlineStr">
        <is>
          <t>English-test waiver (English-medium degree)</t>
        </is>
      </c>
      <c r="C198" s="4" t="inlineStr">
        <is>
          <t>Not stated</t>
        </is>
      </c>
      <c r="D198" s="4" t="inlineStr">
        <is>
          <t>Page requires TOEFL or IELTS for international students; exemption rules not shown on the page checked</t>
        </is>
      </c>
      <c r="E198" s="4" t="inlineStr">
        <is>
          <t>TOEFL or IELTS for international students.</t>
        </is>
      </c>
      <c r="F198" s="4" t="inlineStr">
        <is>
          <t>https://physics-astronomy.jhu.edu/graduate/admissions/</t>
        </is>
      </c>
      <c r="G198" s="4" t="inlineStr"/>
      <c r="H198" s="4" t="inlineStr">
        <is>
          <t>2026-10-21</t>
        </is>
      </c>
    </row>
    <row r="199">
      <c r="A199" s="4" t="inlineStr">
        <is>
          <t>Johns Hopkins University</t>
        </is>
      </c>
      <c r="B199" s="4" t="inlineStr">
        <is>
          <t>Supervisor before admission</t>
        </is>
      </c>
      <c r="C199" s="4" t="inlineStr">
        <is>
          <t>Not stated</t>
        </is>
      </c>
      <c r="D199" s="4" t="inlineStr">
        <is>
          <t>No pre-application supervisor requirement mentioned</t>
        </is>
      </c>
      <c r="E199" s="4" t="inlineStr">
        <is>
          <t>(no statement found)</t>
        </is>
      </c>
      <c r="F199" s="4" t="inlineStr">
        <is>
          <t>https://physics-astronomy.jhu.edu/graduate/admissions/</t>
        </is>
      </c>
      <c r="G199" s="4" t="inlineStr"/>
      <c r="H199" s="4" t="inlineStr">
        <is>
          <t>2026-10-21</t>
        </is>
      </c>
    </row>
    <row r="200">
      <c r="A200" s="4" t="inlineStr">
        <is>
          <t>Johns Hopkins University</t>
        </is>
      </c>
      <c r="B200" s="4" t="inlineStr">
        <is>
          <t>PhD funding</t>
        </is>
      </c>
      <c r="C200" s="4" t="inlineStr">
        <is>
          <t>Guaranteed</t>
        </is>
      </c>
      <c r="D200" s="4" t="inlineStr">
        <is>
          <t>All graduate students are appointed as TAs or RAs, which provide tuition, stipend and benefits</t>
        </is>
      </c>
      <c r="E200" s="4" t="inlineStr">
        <is>
          <t>As part of the program of study, all graduate students are appointed as teaching or research assistants, positions which provide tuition, living stipend, and benefits (health coverage, etc).</t>
        </is>
      </c>
      <c r="F200" s="4" t="inlineStr">
        <is>
          <t>https://physics-astronomy.jhu.edu/graduate/admissions/</t>
        </is>
      </c>
      <c r="G200" s="4" t="inlineStr"/>
      <c r="H200" s="4" t="inlineStr">
        <is>
          <t>2026-10-21</t>
        </is>
      </c>
    </row>
    <row r="201">
      <c r="A201" s="4" t="inlineStr">
        <is>
          <t>Johns Hopkins University</t>
        </is>
      </c>
      <c r="B201" s="4" t="inlineStr">
        <is>
          <t>Entry route</t>
        </is>
      </c>
      <c r="C201" s="4" t="inlineStr">
        <is>
          <t>Direct from bachelor's</t>
        </is>
      </c>
      <c r="D201" s="4" t="inlineStr">
        <is>
          <t>Final-year bachelor's students can apply and must show a completed degree before starting; PhD only, no separate master's (MA awarded en route)</t>
        </is>
      </c>
      <c r="E201" s="4" t="inlineStr">
        <is>
          <t>In the case of students in the final year of their bachelors program, the official transcript must show completion of all coursework required for the degree. | There is no separate Masters Degree program and no provision for part-time students.</t>
        </is>
      </c>
      <c r="F201" s="4" t="inlineStr">
        <is>
          <t>https://physics-astronomy.jhu.edu/graduate/admissions/</t>
        </is>
      </c>
      <c r="G201" s="4" t="inlineStr"/>
      <c r="H201" s="4" t="inlineStr">
        <is>
          <t>2026-10-21</t>
        </is>
      </c>
    </row>
    <row r="202">
      <c r="A202" s="4" t="inlineStr">
        <is>
          <t>KTH Royal Institute of Technology</t>
        </is>
      </c>
      <c r="B202" s="4" t="inlineStr">
        <is>
          <t>Deadline (2027 entry)</t>
        </is>
      </c>
      <c r="C202" s="4" t="inlineStr">
        <is>
          <t>Per position</t>
        </is>
      </c>
      <c r="D202" s="4" t="inlineStr">
        <is>
          <t>No central deadline: apply to an advertised doctoral position; KTH announces positions nine times a year (Feb-Jun, Sep-Dec), each with its own deadline</t>
        </is>
      </c>
      <c r="E202" s="4" t="inlineStr">
        <is>
          <t>In order to apply for a doctoral program, there must be an available doctoral appointment.  ||  Doctoral positions are announced nine times a year: in February, March, April, May, June, September, October, November and December. (https://www.kth.se/en/studies/phd/become-a-phd-student/how-to-apply-1.520089)</t>
        </is>
      </c>
      <c r="F202" s="4" t="inlineStr">
        <is>
          <t>https://www.kth.se/en/sci/utbildning/forskarutbildning/forskaramnet-fysik-1.795636</t>
        </is>
      </c>
      <c r="G202" s="4" t="inlineStr"/>
      <c r="H202" s="4" t="inlineStr">
        <is>
          <t>2026-10-21</t>
        </is>
      </c>
    </row>
    <row r="203">
      <c r="A203" s="4" t="inlineStr">
        <is>
          <t>KTH Royal Institute of Technology</t>
        </is>
      </c>
      <c r="B203" s="4" t="inlineStr">
        <is>
          <t>Application fee</t>
        </is>
      </c>
      <c r="C203" s="4" t="inlineStr">
        <is>
          <t>Not stated</t>
        </is>
      </c>
      <c r="D203" s="4" t="inlineStr">
        <is>
          <t>Not stated on the page checked</t>
        </is>
      </c>
      <c r="E203" s="4" t="inlineStr">
        <is>
          <t>(no statement found)</t>
        </is>
      </c>
      <c r="F203" s="4" t="inlineStr">
        <is>
          <t>https://www.kth.se/en/sci/utbildning/forskarutbildning/forskaramnet-fysik-1.795636</t>
        </is>
      </c>
      <c r="G203" s="4" t="inlineStr"/>
      <c r="H203" s="4" t="inlineStr">
        <is>
          <t>2026-10-21</t>
        </is>
      </c>
    </row>
    <row r="204">
      <c r="A204" s="4" t="inlineStr">
        <is>
          <t>KTH Royal Institute of Technology</t>
        </is>
      </c>
      <c r="B204" s="4" t="inlineStr">
        <is>
          <t>Intl fee waiver</t>
        </is>
      </c>
      <c r="C204" s="4" t="inlineStr">
        <is>
          <t>Not stated</t>
        </is>
      </c>
      <c r="D204" s="4" t="inlineStr">
        <is>
          <t>Not stated on the page checked</t>
        </is>
      </c>
      <c r="E204" s="4" t="inlineStr">
        <is>
          <t>(no statement found)</t>
        </is>
      </c>
      <c r="F204" s="4" t="inlineStr">
        <is>
          <t>https://www.kth.se/en/sci/utbildning/forskarutbildning/forskaramnet-fysik-1.795636</t>
        </is>
      </c>
      <c r="G204" s="4" t="inlineStr"/>
      <c r="H204" s="4" t="inlineStr">
        <is>
          <t>2026-10-21</t>
        </is>
      </c>
    </row>
    <row r="205">
      <c r="A205" s="4" t="inlineStr">
        <is>
          <t>KTH Royal Institute of Technology</t>
        </is>
      </c>
      <c r="B205" s="4" t="inlineStr">
        <is>
          <t>GRE General</t>
        </is>
      </c>
      <c r="C205" s="4" t="inlineStr">
        <is>
          <t>Not stated</t>
        </is>
      </c>
      <c r="D205" s="4" t="inlineStr">
        <is>
          <t>Not stated on the page checked</t>
        </is>
      </c>
      <c r="E205" s="4" t="inlineStr">
        <is>
          <t>(no statement found)</t>
        </is>
      </c>
      <c r="F205" s="4" t="inlineStr">
        <is>
          <t>https://www.kth.se/en/sci/utbildning/forskarutbildning/forskaramnet-fysik-1.795636</t>
        </is>
      </c>
      <c r="G205" s="4" t="inlineStr"/>
      <c r="H205" s="4" t="inlineStr">
        <is>
          <t>2026-10-21</t>
        </is>
      </c>
    </row>
    <row r="206">
      <c r="A206" s="4" t="inlineStr">
        <is>
          <t>KTH Royal Institute of Technology</t>
        </is>
      </c>
      <c r="B206" s="4" t="inlineStr">
        <is>
          <t>Physics GRE</t>
        </is>
      </c>
      <c r="C206" s="4" t="inlineStr">
        <is>
          <t>Not stated</t>
        </is>
      </c>
      <c r="D206" s="4" t="inlineStr">
        <is>
          <t>Not stated on the page checked</t>
        </is>
      </c>
      <c r="E206" s="4" t="inlineStr">
        <is>
          <t>(no statement found)</t>
        </is>
      </c>
      <c r="F206" s="4" t="inlineStr">
        <is>
          <t>https://www.kth.se/en/sci/utbildning/forskarutbildning/forskaramnet-fysik-1.795636</t>
        </is>
      </c>
      <c r="G206" s="4" t="inlineStr"/>
      <c r="H206" s="4" t="inlineStr">
        <is>
          <t>2026-10-21</t>
        </is>
      </c>
    </row>
    <row r="207">
      <c r="A207" s="4" t="inlineStr">
        <is>
          <t>KTH Royal Institute of Technology</t>
        </is>
      </c>
      <c r="B207" s="4" t="inlineStr">
        <is>
          <t>TOEFL minimum</t>
        </is>
      </c>
      <c r="C207" s="4" t="inlineStr">
        <is>
          <t>90</t>
        </is>
      </c>
      <c r="D207" s="4" t="inlineStr">
        <is>
          <t>English 6 level, the same as for KTH master's. University Admissions sets this at TOEFL iBT 90 with 20 in writing (tests up to 20 Jan 2026) or 4.5 on the new 1-6 scale with no section below 4; IELTS 6.5 with no section below 5.5</t>
        </is>
      </c>
      <c r="E207" s="4" t="inlineStr">
        <is>
          <t>You need English proficiency equivalent to the Swedish upper secondary course English 6. The English proficiency requirement is the same as for master's studies at KTH.  ||  For English 6/English Level 2*: Total score of 4.5 (scale 1-6) with no section less than 4 | For English 6/English Level 2*: Score of 20 (scale 0-30) in written test, total score of 90 | For English 6/English Level 2*: an overall score of 6.5 and no section below 5.5 (https://www.universityadmissions.se/en/entry-requirements/english-language-requirements/)</t>
        </is>
      </c>
      <c r="F207" s="4" t="inlineStr">
        <is>
          <t>https://www.kth.se/en/studies/phd/become-a-phd-student/entry-requirements-for-doctoral-studies-1.520175</t>
        </is>
      </c>
      <c r="G207" s="4" t="inlineStr"/>
      <c r="H207" s="4" t="inlineStr">
        <is>
          <t>2026-10-21</t>
        </is>
      </c>
    </row>
    <row r="208">
      <c r="A208" s="4" t="inlineStr">
        <is>
          <t>KTH Royal Institute of Technology</t>
        </is>
      </c>
      <c r="B208" s="4" t="inlineStr">
        <is>
          <t>English-test waiver (English-medium degree)</t>
        </is>
      </c>
      <c r="C208" s="4" t="inlineStr">
        <is>
          <t>Conditional</t>
        </is>
      </c>
      <c r="D208" s="4" t="inlineStr">
        <is>
          <t>Indian upper-secondary English can meet the requirement: CBSE (2008 onwards) or CISCE Class XII English grades, or an English-medium upper secondary certificate. The India page offers no degree-based route, so otherwise take a test</t>
        </is>
      </c>
      <c r="E208" s="4" t="inlineStr">
        <is>
          <t>You can meet the requirement by passing an English test or, depending on your country of previous studies, your completed upper secondary or university studies.  ||  grades in the subject English language and at least three other subjects with English as the language of instruction | grades in the subject English language stated in Indian School Certificate Class XII (year 12) that are issued by the Council for the Indian School Certificate Examinations (CISCE) | grades in the subject English language stated in Senior School Certificate Examination / Marks Statement cum Certificate that are issued by Central Board of Secondary Education (CBSE) from 2008 and onwards | Previous university studies and English test | You can also demonstrate that you meet the English language requirement through an internationally approved English test. (https://www.universityadmissions.se/en/apply-to-masters/provide-application-documents-masters/country-instructions/india/)</t>
        </is>
      </c>
      <c r="F208" s="4" t="inlineStr">
        <is>
          <t>https://www.kth.se/en/studies/phd/become-a-phd-student/entry-requirements-for-doctoral-studies-1.520175</t>
        </is>
      </c>
      <c r="G208" s="4" t="inlineStr"/>
      <c r="H208" s="4" t="inlineStr">
        <is>
          <t>2026-10-21</t>
        </is>
      </c>
    </row>
    <row r="209">
      <c r="A209" s="4" t="inlineStr">
        <is>
          <t>KTH Royal Institute of Technology</t>
        </is>
      </c>
      <c r="B209" s="4" t="inlineStr">
        <is>
          <t>Supervisor before admission</t>
        </is>
      </c>
      <c r="C209" s="4" t="inlineStr">
        <is>
          <t>Required</t>
        </is>
      </c>
      <c r="D209" s="4" t="inlineStr">
        <is>
          <t>You apply to a specific advertised position; the final admission decision is made by the head of school in consultation with the intended supervisors</t>
        </is>
      </c>
      <c r="E209" s="4" t="inlineStr">
        <is>
          <t>The final decision is made by the head of school in consultation with the intended supervisors.</t>
        </is>
      </c>
      <c r="F209" s="4" t="inlineStr">
        <is>
          <t>https://www.kth.se/en/studies/phd/become-a-phd-student/entry-requirements-for-doctoral-studies-1.520175</t>
        </is>
      </c>
      <c r="G209" s="4" t="inlineStr"/>
      <c r="H209" s="4" t="inlineStr">
        <is>
          <t>2026-10-21</t>
        </is>
      </c>
    </row>
    <row r="210">
      <c r="A210" s="4" t="inlineStr">
        <is>
          <t>KTH Royal Institute of Technology</t>
        </is>
      </c>
      <c r="B210" s="4" t="inlineStr">
        <is>
          <t>PhD funding</t>
        </is>
      </c>
      <c r="C210" s="4" t="inlineStr">
        <is>
          <t>Guaranteed</t>
        </is>
      </c>
      <c r="D210" s="4" t="inlineStr">
        <is>
          <t>People admitted to advertised positions are employed by KTH on a monthly salary, currently starting at SEK 33,000 and rising to SEK 37,100 per month</t>
        </is>
      </c>
      <c r="E210" s="4" t="inlineStr">
        <is>
          <t>After your admission, you will receive your employment at KTH.  ||  Most doctoral students at KTH are salaried employees. | They currently start at SEK 33,000 per month at the beginning of employment and can reach up to SEK 37,100. (https://www.kth.se/en/studies/phd/become-a-phd-student/introduction-to-doctoral-studies-at-kth-1.527044)</t>
        </is>
      </c>
      <c r="F210" s="4" t="inlineStr">
        <is>
          <t>https://www.kth.se/en/studies/phd/become-a-phd-student/how-to-apply-1.520089</t>
        </is>
      </c>
      <c r="G210" s="4" t="inlineStr">
        <is>
          <t>advertised doctoral positions</t>
        </is>
      </c>
      <c r="H210" s="4" t="inlineStr">
        <is>
          <t>2026-10-21</t>
        </is>
      </c>
    </row>
    <row r="211">
      <c r="A211" s="4" t="inlineStr">
        <is>
          <t>KTH Royal Institute of Technology</t>
        </is>
      </c>
      <c r="B211" s="4" t="inlineStr">
        <is>
          <t>Entry route</t>
        </is>
      </c>
      <c r="C211" s="4" t="inlineStr">
        <is>
          <t>Master's usually required</t>
        </is>
      </c>
      <c r="D211" s="4" t="inlineStr">
        <is>
          <t>At least 240 credits including at least 60 at master's level, a master's degree, or equivalent knowledge; individual positions may add requirements</t>
        </is>
      </c>
      <c r="E211" s="4" t="inlineStr">
        <is>
          <t>You need completed courses of at least 240 credits (of which at least 60 credits at the master's level), a master’s degree or equivalent knowledge acquired in some other way.</t>
        </is>
      </c>
      <c r="F211" s="4" t="inlineStr">
        <is>
          <t>https://www.kth.se/en/studies/phd/become-a-phd-student/entry-requirements-for-doctoral-studies-1.520175</t>
        </is>
      </c>
      <c r="G211" s="4" t="inlineStr"/>
      <c r="H211" s="4" t="inlineStr">
        <is>
          <t>2026-10-21</t>
        </is>
      </c>
    </row>
    <row r="212">
      <c r="A212" s="4" t="inlineStr">
        <is>
          <t>LMU / TUM / Max Planck (Munich)</t>
        </is>
      </c>
      <c r="B212" s="4" t="inlineStr">
        <is>
          <t>Deadline (2027 entry)</t>
        </is>
      </c>
      <c r="C212" s="4" t="inlineStr">
        <is>
          <t>Not stated</t>
        </is>
      </c>
      <c r="D212" s="4" t="inlineStr">
        <is>
          <t>Call opens October 2026 for Fall 2027; deadline not yet published on the page checked</t>
        </is>
      </c>
      <c r="E212" s="4" t="inlineStr">
        <is>
          <t>The next call for applications for the MCQST Doctoral Fellowships will open in October 2026 for admission in Fall 2027.</t>
        </is>
      </c>
      <c r="F212" s="4" t="inlineStr">
        <is>
          <t>https://www.imprs-quantum.mpg.de/3192/Application</t>
        </is>
      </c>
      <c r="G212" s="4" t="inlineStr"/>
      <c r="H212" s="4" t="inlineStr">
        <is>
          <t>2026-10-21</t>
        </is>
      </c>
    </row>
    <row r="213">
      <c r="A213" s="4" t="inlineStr">
        <is>
          <t>LMU / TUM / Max Planck (Munich)</t>
        </is>
      </c>
      <c r="B213" s="4" t="inlineStr">
        <is>
          <t>Application fee</t>
        </is>
      </c>
      <c r="C213" s="4" t="inlineStr">
        <is>
          <t>Not stated</t>
        </is>
      </c>
      <c r="D213" s="4" t="inlineStr">
        <is>
          <t>Not stated on the page checked</t>
        </is>
      </c>
      <c r="E213" s="4" t="inlineStr">
        <is>
          <t>(no statement found)</t>
        </is>
      </c>
      <c r="F213" s="4" t="inlineStr">
        <is>
          <t>https://www.imprs-quantum.mpg.de/3192/Application</t>
        </is>
      </c>
      <c r="G213" s="4" t="inlineStr"/>
      <c r="H213" s="4" t="inlineStr">
        <is>
          <t>2026-10-21</t>
        </is>
      </c>
    </row>
    <row r="214">
      <c r="A214" s="4" t="inlineStr">
        <is>
          <t>LMU / TUM / Max Planck (Munich)</t>
        </is>
      </c>
      <c r="B214" s="4" t="inlineStr">
        <is>
          <t>Intl fee waiver</t>
        </is>
      </c>
      <c r="C214" s="4" t="inlineStr">
        <is>
          <t>Not stated</t>
        </is>
      </c>
      <c r="D214" s="4" t="inlineStr">
        <is>
          <t>Not stated on the page checked</t>
        </is>
      </c>
      <c r="E214" s="4" t="inlineStr">
        <is>
          <t>(no statement found)</t>
        </is>
      </c>
      <c r="F214" s="4" t="inlineStr">
        <is>
          <t>https://www.imprs-quantum.mpg.de/3192/Application</t>
        </is>
      </c>
      <c r="G214" s="4" t="inlineStr"/>
      <c r="H214" s="4" t="inlineStr">
        <is>
          <t>2026-10-21</t>
        </is>
      </c>
    </row>
    <row r="215">
      <c r="A215" s="4" t="inlineStr">
        <is>
          <t>LMU / TUM / Max Planck (Munich)</t>
        </is>
      </c>
      <c r="B215" s="4" t="inlineStr">
        <is>
          <t>GRE General</t>
        </is>
      </c>
      <c r="C215" s="4" t="inlineStr">
        <is>
          <t>Not stated</t>
        </is>
      </c>
      <c r="D215" s="4" t="inlineStr">
        <is>
          <t>Not stated</t>
        </is>
      </c>
      <c r="E215" s="4" t="inlineStr">
        <is>
          <t>(no statement found)</t>
        </is>
      </c>
      <c r="F215" s="4" t="inlineStr">
        <is>
          <t>https://www.imprs-quantum.mpg.de/3192/Application</t>
        </is>
      </c>
      <c r="G215" s="4" t="inlineStr"/>
      <c r="H215" s="4" t="inlineStr">
        <is>
          <t>2026-10-21</t>
        </is>
      </c>
    </row>
    <row r="216">
      <c r="A216" s="4" t="inlineStr">
        <is>
          <t>LMU / TUM / Max Planck (Munich)</t>
        </is>
      </c>
      <c r="B216" s="4" t="inlineStr">
        <is>
          <t>Physics GRE</t>
        </is>
      </c>
      <c r="C216" s="4" t="inlineStr">
        <is>
          <t>Not stated</t>
        </is>
      </c>
      <c r="D216" s="4" t="inlineStr">
        <is>
          <t>Not stated</t>
        </is>
      </c>
      <c r="E216" s="4" t="inlineStr">
        <is>
          <t>(no statement found)</t>
        </is>
      </c>
      <c r="F216" s="4" t="inlineStr">
        <is>
          <t>https://www.imprs-quantum.mpg.de/3192/Application</t>
        </is>
      </c>
      <c r="G216" s="4" t="inlineStr"/>
      <c r="H216" s="4" t="inlineStr">
        <is>
          <t>2026-10-21</t>
        </is>
      </c>
    </row>
    <row r="217">
      <c r="A217" s="4" t="inlineStr">
        <is>
          <t>LMU / TUM / Max Planck (Munich)</t>
        </is>
      </c>
      <c r="B217" s="4" t="inlineStr">
        <is>
          <t>TOEFL minimum</t>
        </is>
      </c>
      <c r="C217" s="4" t="inlineStr">
        <is>
          <t>Not stated</t>
        </is>
      </c>
      <c r="D217" s="4" t="inlineStr">
        <is>
          <t>Not stated</t>
        </is>
      </c>
      <c r="E217" s="4" t="inlineStr">
        <is>
          <t>(no statement found)</t>
        </is>
      </c>
      <c r="F217" s="4" t="inlineStr">
        <is>
          <t>https://www.imprs-quantum.mpg.de/3192/Application</t>
        </is>
      </c>
      <c r="G217" s="4" t="inlineStr"/>
      <c r="H217" s="4" t="inlineStr">
        <is>
          <t>2026-10-21</t>
        </is>
      </c>
    </row>
    <row r="218">
      <c r="A218" s="4" t="inlineStr">
        <is>
          <t>LMU / TUM / Max Planck (Munich)</t>
        </is>
      </c>
      <c r="B218" s="4" t="inlineStr">
        <is>
          <t>English-test waiver (English-medium degree)</t>
        </is>
      </c>
      <c r="C218" s="4" t="inlineStr">
        <is>
          <t>Not stated</t>
        </is>
      </c>
      <c r="D218" s="4" t="inlineStr">
        <is>
          <t>Not stated</t>
        </is>
      </c>
      <c r="E218" s="4" t="inlineStr">
        <is>
          <t>(no statement found)</t>
        </is>
      </c>
      <c r="F218" s="4" t="inlineStr">
        <is>
          <t>https://www.imprs-quantum.mpg.de/3192/Application</t>
        </is>
      </c>
      <c r="G218" s="4" t="inlineStr"/>
      <c r="H218" s="4" t="inlineStr">
        <is>
          <t>2026-10-21</t>
        </is>
      </c>
    </row>
    <row r="219">
      <c r="A219" s="4" t="inlineStr">
        <is>
          <t>LMU / TUM / Max Planck (Munich)</t>
        </is>
      </c>
      <c r="B219" s="4" t="inlineStr">
        <is>
          <t>Supervisor before admission</t>
        </is>
      </c>
      <c r="C219" s="4" t="inlineStr">
        <is>
          <t>Not stated</t>
        </is>
      </c>
      <c r="D219" s="4" t="inlineStr">
        <is>
          <t>Not stated on the page checked</t>
        </is>
      </c>
      <c r="E219" s="4" t="inlineStr">
        <is>
          <t>(no statement found)</t>
        </is>
      </c>
      <c r="F219" s="4" t="inlineStr">
        <is>
          <t>https://www.imprs-quantum.mpg.de/3192/Application</t>
        </is>
      </c>
      <c r="G219" s="4" t="inlineStr"/>
      <c r="H219" s="4" t="inlineStr">
        <is>
          <t>2026-10-21</t>
        </is>
      </c>
    </row>
    <row r="220">
      <c r="A220" s="4" t="inlineStr">
        <is>
          <t>LMU / TUM / Max Planck (Munich)</t>
        </is>
      </c>
      <c r="B220" s="4" t="inlineStr">
        <is>
          <t>PhD funding</t>
        </is>
      </c>
      <c r="C220" s="4" t="inlineStr">
        <is>
          <t>Not stated</t>
        </is>
      </c>
      <c r="D220" s="4" t="inlineStr">
        <is>
          <t>Doctoral fellowships; terms not stated on the page checked</t>
        </is>
      </c>
      <c r="E220" s="4" t="inlineStr">
        <is>
          <t>(no statement found)</t>
        </is>
      </c>
      <c r="F220" s="4" t="inlineStr">
        <is>
          <t>https://www.imprs-quantum.mpg.de/3192/Application</t>
        </is>
      </c>
      <c r="G220" s="4" t="inlineStr"/>
      <c r="H220" s="4" t="inlineStr">
        <is>
          <t>2026-10-21</t>
        </is>
      </c>
    </row>
    <row r="221">
      <c r="A221" s="4" t="inlineStr">
        <is>
          <t>LMU / TUM / Max Planck (Munich)</t>
        </is>
      </c>
      <c r="B221" s="4" t="inlineStr">
        <is>
          <t>Entry route</t>
        </is>
      </c>
      <c r="C221" s="4" t="inlineStr">
        <is>
          <t>Not stated</t>
        </is>
      </c>
      <c r="D221" s="4" t="inlineStr">
        <is>
          <t>Open only to external applicants who did not complete their Master's studies or thesis in Munich</t>
        </is>
      </c>
      <c r="E221" s="4" t="inlineStr">
        <is>
          <t>the fellowships are open only to external applicants who did not complete their Master’s studies or Master’s thesis in Munich.</t>
        </is>
      </c>
      <c r="F221" s="4" t="inlineStr">
        <is>
          <t>https://www.imprs-quantum.mpg.de/3192/Application</t>
        </is>
      </c>
      <c r="G221" s="4" t="inlineStr"/>
      <c r="H221" s="4" t="inlineStr">
        <is>
          <t>2026-10-21</t>
        </is>
      </c>
    </row>
    <row r="222">
      <c r="A222" s="4" t="inlineStr">
        <is>
          <t>Leiden University</t>
        </is>
      </c>
      <c r="B222" s="4" t="inlineStr">
        <is>
          <t>Deadline (2027 entry)</t>
        </is>
      </c>
      <c r="C222" s="4" t="inlineStr">
        <is>
          <t>Per position</t>
        </is>
      </c>
      <c r="D222" s="4" t="inlineStr">
        <is>
          <t>Paid PhD positions are advertised as vacancies with their own deadlines</t>
        </is>
      </c>
      <c r="E222" s="4" t="inlineStr">
        <is>
          <t>Every year, LION has paid positions available for PhD candidates, that are filled on a merit basis.</t>
        </is>
      </c>
      <c r="F222" s="4" t="inlineStr">
        <is>
          <t>https://www.universiteitleiden.nl/en/science/graduate-school-of-science/phd-programmes/physics</t>
        </is>
      </c>
      <c r="G222" s="4" t="inlineStr"/>
      <c r="H222" s="4" t="inlineStr">
        <is>
          <t>2026-10-21</t>
        </is>
      </c>
    </row>
    <row r="223">
      <c r="A223" s="4" t="inlineStr">
        <is>
          <t>Leiden University</t>
        </is>
      </c>
      <c r="B223" s="4" t="inlineStr">
        <is>
          <t>Application fee</t>
        </is>
      </c>
      <c r="C223" s="4" t="inlineStr">
        <is>
          <t>Not stated</t>
        </is>
      </c>
      <c r="D223" s="4" t="inlineStr">
        <is>
          <t>Not stated on the pages checked</t>
        </is>
      </c>
      <c r="E223" s="4" t="inlineStr">
        <is>
          <t>(no statement found)</t>
        </is>
      </c>
      <c r="F223" s="4" t="inlineStr">
        <is>
          <t>https://www.universiteitleiden.nl/en/science/physics/phd-programme</t>
        </is>
      </c>
      <c r="G223" s="4" t="inlineStr"/>
      <c r="H223" s="4" t="inlineStr">
        <is>
          <t>2026-10-21</t>
        </is>
      </c>
    </row>
    <row r="224">
      <c r="A224" s="4" t="inlineStr">
        <is>
          <t>Leiden University</t>
        </is>
      </c>
      <c r="B224" s="4" t="inlineStr">
        <is>
          <t>Intl fee waiver</t>
        </is>
      </c>
      <c r="C224" s="4" t="inlineStr">
        <is>
          <t>Not stated</t>
        </is>
      </c>
      <c r="D224" s="4" t="inlineStr">
        <is>
          <t>Not stated on the pages checked</t>
        </is>
      </c>
      <c r="E224" s="4" t="inlineStr">
        <is>
          <t>(no statement found)</t>
        </is>
      </c>
      <c r="F224" s="4" t="inlineStr">
        <is>
          <t>https://www.universiteitleiden.nl/en/science/physics/phd-programme</t>
        </is>
      </c>
      <c r="G224" s="4" t="inlineStr"/>
      <c r="H224" s="4" t="inlineStr">
        <is>
          <t>2026-10-21</t>
        </is>
      </c>
    </row>
    <row r="225">
      <c r="A225" s="4" t="inlineStr">
        <is>
          <t>Leiden University</t>
        </is>
      </c>
      <c r="B225" s="4" t="inlineStr">
        <is>
          <t>GRE General</t>
        </is>
      </c>
      <c r="C225" s="4" t="inlineStr">
        <is>
          <t>Not stated</t>
        </is>
      </c>
      <c r="D225" s="4" t="inlineStr">
        <is>
          <t>Not stated</t>
        </is>
      </c>
      <c r="E225" s="4" t="inlineStr">
        <is>
          <t>(no statement found)</t>
        </is>
      </c>
      <c r="F225" s="4" t="inlineStr">
        <is>
          <t>https://www.universiteitleiden.nl/en/science/physics/phd-programme</t>
        </is>
      </c>
      <c r="G225" s="4" t="inlineStr"/>
      <c r="H225" s="4" t="inlineStr">
        <is>
          <t>2026-10-21</t>
        </is>
      </c>
    </row>
    <row r="226">
      <c r="A226" s="4" t="inlineStr">
        <is>
          <t>Leiden University</t>
        </is>
      </c>
      <c r="B226" s="4" t="inlineStr">
        <is>
          <t>Physics GRE</t>
        </is>
      </c>
      <c r="C226" s="4" t="inlineStr">
        <is>
          <t>Not stated</t>
        </is>
      </c>
      <c r="D226" s="4" t="inlineStr">
        <is>
          <t>Not stated</t>
        </is>
      </c>
      <c r="E226" s="4" t="inlineStr">
        <is>
          <t>(no statement found)</t>
        </is>
      </c>
      <c r="F226" s="4" t="inlineStr">
        <is>
          <t>https://www.universiteitleiden.nl/en/science/physics/phd-programme</t>
        </is>
      </c>
      <c r="G226" s="4" t="inlineStr"/>
      <c r="H226" s="4" t="inlineStr">
        <is>
          <t>2026-10-21</t>
        </is>
      </c>
    </row>
    <row r="227">
      <c r="A227" s="4" t="inlineStr">
        <is>
          <t>Leiden University</t>
        </is>
      </c>
      <c r="B227" s="4" t="inlineStr">
        <is>
          <t>TOEFL minimum</t>
        </is>
      </c>
      <c r="C227" s="4" t="inlineStr">
        <is>
          <t>Not stated</t>
        </is>
      </c>
      <c r="D227" s="4" t="inlineStr">
        <is>
          <t>Not stated on the pages checked</t>
        </is>
      </c>
      <c r="E227" s="4" t="inlineStr">
        <is>
          <t>(no statement found)</t>
        </is>
      </c>
      <c r="F227" s="4" t="inlineStr">
        <is>
          <t>https://www.universiteitleiden.nl/en/science/physics/phd-programme</t>
        </is>
      </c>
      <c r="G227" s="4" t="inlineStr"/>
      <c r="H227" s="4" t="inlineStr">
        <is>
          <t>2026-10-21</t>
        </is>
      </c>
    </row>
    <row r="228">
      <c r="A228" s="4" t="inlineStr">
        <is>
          <t>Leiden University</t>
        </is>
      </c>
      <c r="B228" s="4" t="inlineStr">
        <is>
          <t>English-test waiver (English-medium degree)</t>
        </is>
      </c>
      <c r="C228" s="4" t="inlineStr">
        <is>
          <t>Not stated</t>
        </is>
      </c>
      <c r="D228" s="4" t="inlineStr">
        <is>
          <t>Not stated on the pages checked (theses are written in English)</t>
        </is>
      </c>
      <c r="E228" s="4" t="inlineStr">
        <is>
          <t>(no statement found)</t>
        </is>
      </c>
      <c r="F228" s="4" t="inlineStr">
        <is>
          <t>https://www.universiteitleiden.nl/en/science/physics/phd-programme</t>
        </is>
      </c>
      <c r="G228" s="4" t="inlineStr"/>
      <c r="H228" s="4" t="inlineStr">
        <is>
          <t>2026-10-21</t>
        </is>
      </c>
    </row>
    <row r="229">
      <c r="A229" s="4" t="inlineStr">
        <is>
          <t>Leiden University</t>
        </is>
      </c>
      <c r="B229" s="4" t="inlineStr">
        <is>
          <t>Supervisor before admission</t>
        </is>
      </c>
      <c r="C229" s="4" t="inlineStr">
        <is>
          <t>Required</t>
        </is>
      </c>
      <c r="D229" s="4" t="inlineStr">
        <is>
          <t>Apply to a specific advertised position; requirements are set with the thesis supervisor</t>
        </is>
      </c>
      <c r="E229" s="4" t="inlineStr">
        <is>
          <t>Specific requirements of the PhD programme depend on the specialisation chosen and are determined in agreement with the supervisor of the thesis.</t>
        </is>
      </c>
      <c r="F229" s="4" t="inlineStr">
        <is>
          <t>https://www.universiteitleiden.nl/en/science/graduate-school-of-science/phd-programmes/physics</t>
        </is>
      </c>
      <c r="G229" s="4" t="inlineStr"/>
      <c r="H229" s="4" t="inlineStr">
        <is>
          <t>2026-10-21</t>
        </is>
      </c>
    </row>
    <row r="230">
      <c r="A230" s="4" t="inlineStr">
        <is>
          <t>Leiden University</t>
        </is>
      </c>
      <c r="B230" s="4" t="inlineStr">
        <is>
          <t>PhD funding</t>
        </is>
      </c>
      <c r="C230" s="4" t="inlineStr">
        <is>
          <t>Guaranteed</t>
        </is>
      </c>
      <c r="D230" s="4" t="inlineStr">
        <is>
          <t>All LION PhD projects are 4-year fully paid positions (usually a 1+3-year contract) with about 10% teaching</t>
        </is>
      </c>
      <c r="E230" s="4" t="inlineStr">
        <is>
          <t>All of our PhD projects are 4-year fully paid positions, usually consisting of a 1-year+3-year contract.</t>
        </is>
      </c>
      <c r="F230" s="4" t="inlineStr">
        <is>
          <t>https://www.universiteitleiden.nl/en/science/physics/phd-programme</t>
        </is>
      </c>
      <c r="G230" s="4" t="inlineStr"/>
      <c r="H230" s="4" t="inlineStr">
        <is>
          <t>2026-10-21</t>
        </is>
      </c>
    </row>
    <row r="231">
      <c r="A231" s="4" t="inlineStr">
        <is>
          <t>Leiden University</t>
        </is>
      </c>
      <c r="B231" s="4" t="inlineStr">
        <is>
          <t>Entry route</t>
        </is>
      </c>
      <c r="C231" s="4" t="inlineStr">
        <is>
          <t>Master's usually required</t>
        </is>
      </c>
      <c r="D231" s="4" t="inlineStr">
        <is>
          <t>An MSc degree is required</t>
        </is>
      </c>
      <c r="E231" s="4" t="inlineStr">
        <is>
          <t>An MSc degree is required for admission to the PhD programme.</t>
        </is>
      </c>
      <c r="F231" s="4" t="inlineStr">
        <is>
          <t>https://www.universiteitleiden.nl/en/science/graduate-school-of-science/phd-programmes/physics</t>
        </is>
      </c>
      <c r="G231" s="4" t="inlineStr"/>
      <c r="H231" s="4" t="inlineStr">
        <is>
          <t>2026-10-21</t>
        </is>
      </c>
    </row>
    <row r="232">
      <c r="A232" s="4" t="inlineStr">
        <is>
          <t>Massachusetts Institute of Technology</t>
        </is>
      </c>
      <c r="B232" s="4" t="inlineStr">
        <is>
          <t>Deadline (2027 entry)</t>
        </is>
      </c>
      <c r="C232" s="4" t="inlineStr">
        <is>
          <t>2026-12-15</t>
        </is>
      </c>
      <c r="D232" s="4" t="inlineStr">
        <is>
          <t>December 15 at 11:59 PM Eastern (application opens September 15); year inferred</t>
        </is>
      </c>
      <c r="E232" s="4" t="inlineStr">
        <is>
          <t>Deadline: December 15 at 11:59 PM Eastern Time</t>
        </is>
      </c>
      <c r="F232" s="4" t="inlineStr">
        <is>
          <t>https://oge.mit.edu/programs/physics/</t>
        </is>
      </c>
      <c r="G232" s="4" t="inlineStr">
        <is>
          <t>year inferred</t>
        </is>
      </c>
      <c r="H232" s="4" t="inlineStr">
        <is>
          <t>2026-10-21</t>
        </is>
      </c>
    </row>
    <row r="233">
      <c r="A233" s="4" t="inlineStr">
        <is>
          <t>Massachusetts Institute of Technology</t>
        </is>
      </c>
      <c r="B233" s="4" t="inlineStr">
        <is>
          <t>Application fee</t>
        </is>
      </c>
      <c r="C233" s="4" t="inlineStr">
        <is>
          <t>90 USD</t>
        </is>
      </c>
      <c r="D233" s="4" t="inlineStr">
        <is>
          <t>USD 90</t>
        </is>
      </c>
      <c r="E233" s="4" t="inlineStr">
        <is>
          <t>Deadline: December 15 at 11:59 PM Eastern Time Fee: $90.00</t>
        </is>
      </c>
      <c r="F233" s="4" t="inlineStr">
        <is>
          <t>https://oge.mit.edu/programs/physics/</t>
        </is>
      </c>
      <c r="G233" s="4" t="inlineStr"/>
      <c r="H233" s="4" t="inlineStr">
        <is>
          <t>2026-10-21</t>
        </is>
      </c>
    </row>
    <row r="234">
      <c r="A234" s="4" t="inlineStr">
        <is>
          <t>Massachusetts Institute of Technology</t>
        </is>
      </c>
      <c r="B234" s="4" t="inlineStr">
        <is>
          <t>Intl fee waiver</t>
        </is>
      </c>
      <c r="C234" s="4" t="inlineStr">
        <is>
          <t>Limited</t>
        </is>
      </c>
      <c r="D234" s="4" t="inlineStr">
        <is>
          <t>International applicants qualify only if currently at a US college AND in a select research-preparation program; no hardship-only waivers for internationals. Requests due Dec 1 for Dec 15 deadlines.</t>
        </is>
      </c>
      <c r="E234" s="4" t="inlineStr">
        <is>
          <t>International applicants may request a graduate application fee waiver if they meet both criteria below: | Currently attending a college or university in the U.S. | Participated in select graduate research preparation programs | Fee waiver requests are due by December 1 for all programs with an application deadline between December 15–23  ||  At this time, we are not able to consider international applicants’ requests for fee waivers on the basis of financial hardship. (https://oge.mit.edu/graduate-admissions/applications/application-fee-waiver/)</t>
        </is>
      </c>
      <c r="F234" s="4" t="inlineStr">
        <is>
          <t>https://oge.mit.edu/graduate-admissions/applications/application-fee-waiver/</t>
        </is>
      </c>
      <c r="G234" s="4" t="inlineStr">
        <is>
          <t>act by 2026-12-01</t>
        </is>
      </c>
      <c r="H234" s="4" t="inlineStr">
        <is>
          <t>2026-10-21</t>
        </is>
      </c>
    </row>
    <row r="235">
      <c r="A235" s="4" t="inlineStr">
        <is>
          <t>Massachusetts Institute of Technology</t>
        </is>
      </c>
      <c r="B235" s="4" t="inlineStr">
        <is>
          <t>GRE General</t>
        </is>
      </c>
      <c r="C235" s="4" t="inlineStr">
        <is>
          <t>Recommended</t>
        </is>
      </c>
      <c r="D235" s="4" t="inlineStr">
        <is>
          <t>General GRE recommended but not required</t>
        </is>
      </c>
      <c r="E235" s="4" t="inlineStr">
        <is>
          <t>General test and subject test are recommended but not required</t>
        </is>
      </c>
      <c r="F235" s="4" t="inlineStr">
        <is>
          <t>https://oge.mit.edu/programs/physics/</t>
        </is>
      </c>
      <c r="G235" s="4" t="inlineStr"/>
      <c r="H235" s="4" t="inlineStr">
        <is>
          <t>2026-10-21</t>
        </is>
      </c>
    </row>
    <row r="236">
      <c r="A236" s="4" t="inlineStr">
        <is>
          <t>Massachusetts Institute of Technology</t>
        </is>
      </c>
      <c r="B236" s="4" t="inlineStr">
        <is>
          <t>Physics GRE</t>
        </is>
      </c>
      <c r="C236" s="4" t="inlineStr">
        <is>
          <t>Recommended</t>
        </is>
      </c>
      <c r="D236" s="4" t="inlineStr">
        <is>
          <t>Physics GRE recommended but not required</t>
        </is>
      </c>
      <c r="E236" s="4" t="inlineStr">
        <is>
          <t>General test and subject test are recommended but not required</t>
        </is>
      </c>
      <c r="F236" s="4" t="inlineStr">
        <is>
          <t>https://oge.mit.edu/programs/physics/</t>
        </is>
      </c>
      <c r="G236" s="4" t="inlineStr"/>
      <c r="H236" s="4" t="inlineStr">
        <is>
          <t>2026-10-21</t>
        </is>
      </c>
    </row>
    <row r="237">
      <c r="A237" s="4" t="inlineStr">
        <is>
          <t>Massachusetts Institute of Technology</t>
        </is>
      </c>
      <c r="B237" s="4" t="inlineStr">
        <is>
          <t>TOEFL minimum</t>
        </is>
      </c>
      <c r="C237" s="4" t="inlineStr">
        <is>
          <t>100</t>
        </is>
      </c>
      <c r="D237" s="4" t="inlineStr">
        <is>
          <t>TOEFL iBT 100; IELTS 7</t>
        </is>
      </c>
      <c r="E237" s="4" t="inlineStr">
        <is>
          <t>Minimum score required: 100 (iBT)</t>
        </is>
      </c>
      <c r="F237" s="4" t="inlineStr">
        <is>
          <t>https://oge.mit.edu/programs/physics/</t>
        </is>
      </c>
      <c r="G237" s="4" t="inlineStr"/>
      <c r="H237" s="4" t="inlineStr">
        <is>
          <t>2026-10-21</t>
        </is>
      </c>
    </row>
    <row r="238">
      <c r="A238" s="4" t="inlineStr">
        <is>
          <t>Massachusetts Institute of Technology</t>
        </is>
      </c>
      <c r="B238" s="4" t="inlineStr">
        <is>
          <t>English-test waiver (English-medium degree)</t>
        </is>
      </c>
      <c r="C238" s="4" t="inlineStr">
        <is>
          <t>No</t>
        </is>
      </c>
      <c r="D238" s="4" t="inlineStr">
        <is>
          <t>Automatic exemption only for undergraduate degrees from Australia, Canada, Ireland, New Zealand, UK or US; English-medium degrees from other countries (e.g. India) explicitly do not qualify. Physics says a department waiver "may be available" (discretionary, requested in the application).</t>
        </is>
      </c>
      <c r="E238" s="4" t="inlineStr">
        <is>
          <t>Graduate Admissions does not consider the following to be circumstances eligible for an exemption: | You received an undergraduate degree from an institution where the Medium of Instruction was in English in a country that is not listed above.  ||  Department ELP policy: A waiver of TOEFL/IELTS may be available for eligible applicants. (https://oge.mit.edu/programs/physics/)</t>
        </is>
      </c>
      <c r="F238" s="4" t="inlineStr">
        <is>
          <t>https://oge.mit.edu/graduate-admissions/admissions-policies/elp-test-requirement/elp-exemptions/</t>
        </is>
      </c>
      <c r="G238" s="4" t="inlineStr"/>
      <c r="H238" s="4" t="inlineStr">
        <is>
          <t>2026-10-21</t>
        </is>
      </c>
    </row>
    <row r="239">
      <c r="A239" s="4" t="inlineStr">
        <is>
          <t>Massachusetts Institute of Technology</t>
        </is>
      </c>
      <c r="B239" s="4" t="inlineStr">
        <is>
          <t>Supervisor before admission</t>
        </is>
      </c>
      <c r="C239" s="4" t="inlineStr">
        <is>
          <t>Not stated</t>
        </is>
      </c>
      <c r="D239" s="4" t="inlineStr">
        <is>
          <t>No pre-application supervisor requirement mentioned</t>
        </is>
      </c>
      <c r="E239" s="4" t="inlineStr">
        <is>
          <t>(no statement found)</t>
        </is>
      </c>
      <c r="F239" s="4" t="inlineStr">
        <is>
          <t>https://oge.mit.edu/programs/physics/</t>
        </is>
      </c>
      <c r="G239" s="4" t="inlineStr"/>
      <c r="H239" s="4" t="inlineStr">
        <is>
          <t>2026-10-21</t>
        </is>
      </c>
    </row>
    <row r="240">
      <c r="A240" s="4" t="inlineStr">
        <is>
          <t>Massachusetts Institute of Technology</t>
        </is>
      </c>
      <c r="B240" s="4" t="inlineStr">
        <is>
          <t>PhD funding</t>
        </is>
      </c>
      <c r="C240" s="4" t="inlineStr">
        <is>
          <t>Guaranteed</t>
        </is>
      </c>
      <c r="D240" s="4" t="inlineStr">
        <is>
          <t>PhD students fully supported for the whole program, given satisfactory progress (tuition, health insurance, stipend)</t>
        </is>
      </c>
      <c r="E240" s="4" t="inlineStr">
        <is>
          <t>Our PhD students are fully supported financially throughout the duration of their program, provided that they make satisfactory progress.</t>
        </is>
      </c>
      <c r="F240" s="4" t="inlineStr">
        <is>
          <t>https://oge.mit.edu/programs/physics/</t>
        </is>
      </c>
      <c r="G240" s="4" t="inlineStr"/>
      <c r="H240" s="4" t="inlineStr">
        <is>
          <t>2026-10-21</t>
        </is>
      </c>
    </row>
    <row r="241">
      <c r="A241" s="4" t="inlineStr">
        <is>
          <t>Massachusetts Institute of Technology</t>
        </is>
      </c>
      <c r="B241" s="4" t="inlineStr">
        <is>
          <t>Entry route</t>
        </is>
      </c>
      <c r="C241" s="4" t="inlineStr">
        <is>
          <t>Not stated</t>
        </is>
      </c>
      <c r="D241" s="4" t="inlineStr">
        <is>
          <t>Not stated on the page checked</t>
        </is>
      </c>
      <c r="E241" s="4" t="inlineStr">
        <is>
          <t>(no statement found)</t>
        </is>
      </c>
      <c r="F241" s="4" t="inlineStr">
        <is>
          <t>https://oge.mit.edu/programs/physics/</t>
        </is>
      </c>
      <c r="G241" s="4" t="inlineStr"/>
      <c r="H241" s="4" t="inlineStr">
        <is>
          <t>2026-10-21</t>
        </is>
      </c>
    </row>
    <row r="242">
      <c r="A242" s="4" t="inlineStr">
        <is>
          <t>Max Planck Institute for Chemical Physics of Solids (MPI CPfS) and TU Dresden</t>
        </is>
      </c>
      <c r="B242" s="4" t="inlineStr">
        <is>
          <t>Deadline (2027 entry)</t>
        </is>
      </c>
      <c r="C242" s="4" t="inlineStr">
        <is>
          <t>2026-11-30</t>
        </is>
      </c>
      <c r="D242" s="4" t="inlineStr">
        <is>
          <t>Nov 30, 2026 for the 2026/27 recruitment cycle (selection workshop in Dresden Feb 22–24, 2027; start by Sept 2027). Applications outside the cycle are accepted year-round and handled individually</t>
        </is>
      </c>
      <c r="E242" s="4" t="inlineStr">
        <is>
          <t>If you would like us to consider your application in the current recruiting window, please submit your complete application as soon as possible, but not later than 30 November 2026. | Students who are admitted to IMPRS-CPQM after the current recruitment cycle, are expected to start their PhD project no later than September 2027.  ||  we plan to hold an in-person workshop from 22 - 24 February 2027 at the MPI CPfS (https://imprs-cpqm.mpg.de/101737/Selection)</t>
        </is>
      </c>
      <c r="F242" s="4" t="inlineStr">
        <is>
          <t>https://imprs-cpqm.mpg.de/apply-now</t>
        </is>
      </c>
      <c r="G242" s="4" t="inlineStr">
        <is>
          <t>act by 2026-11-30</t>
        </is>
      </c>
      <c r="H242" s="4" t="inlineStr">
        <is>
          <t>2026-10-21</t>
        </is>
      </c>
    </row>
    <row r="243">
      <c r="A243" s="4" t="inlineStr">
        <is>
          <t>Max Planck Institute for Chemical Physics of Solids (MPI CPfS) and TU Dresden</t>
        </is>
      </c>
      <c r="B243" s="4" t="inlineStr">
        <is>
          <t>Application fee</t>
        </is>
      </c>
      <c r="C243" s="4" t="inlineStr">
        <is>
          <t>0 (no fee)</t>
        </is>
      </c>
      <c r="D243" s="4" t="inlineStr">
        <is>
          <t>No application fee</t>
        </is>
      </c>
      <c r="E243" s="4" t="inlineStr">
        <is>
          <t>IMPRS-CPQM does not charge any application fee.</t>
        </is>
      </c>
      <c r="F243" s="4" t="inlineStr">
        <is>
          <t>https://imprs-cpqm.mpg.de/15626/faq</t>
        </is>
      </c>
      <c r="G243" s="4" t="inlineStr"/>
      <c r="H243" s="4" t="inlineStr">
        <is>
          <t>2026-10-21</t>
        </is>
      </c>
    </row>
    <row r="244">
      <c r="A244" s="4" t="inlineStr">
        <is>
          <t>Max Planck Institute for Chemical Physics of Solids (MPI CPfS) and TU Dresden</t>
        </is>
      </c>
      <c r="B244" s="4" t="inlineStr">
        <is>
          <t>Intl fee waiver</t>
        </is>
      </c>
      <c r="C244" s="4" t="inlineStr">
        <is>
          <t>No fee</t>
        </is>
      </c>
      <c r="D244" s="4" t="inlineStr">
        <is>
          <t>Not needed: no application fee</t>
        </is>
      </c>
      <c r="E244" s="4" t="inlineStr">
        <is>
          <t>IMPRS-CPQM does not charge any application fee.</t>
        </is>
      </c>
      <c r="F244" s="4" t="inlineStr">
        <is>
          <t>https://imprs-cpqm.mpg.de/15626/faq</t>
        </is>
      </c>
      <c r="G244" s="4" t="inlineStr"/>
      <c r="H244" s="4" t="inlineStr">
        <is>
          <t>2026-10-21</t>
        </is>
      </c>
    </row>
    <row r="245">
      <c r="A245" s="4" t="inlineStr">
        <is>
          <t>Max Planck Institute for Chemical Physics of Solids (MPI CPfS) and TU Dresden</t>
        </is>
      </c>
      <c r="B245" s="4" t="inlineStr">
        <is>
          <t>GRE General</t>
        </is>
      </c>
      <c r="C245" s="4" t="inlineStr">
        <is>
          <t>Not stated</t>
        </is>
      </c>
      <c r="D245" s="4" t="inlineStr">
        <is>
          <t>Not stated on the page checked</t>
        </is>
      </c>
      <c r="E245" s="4" t="inlineStr">
        <is>
          <t>(no statement found)</t>
        </is>
      </c>
      <c r="F245" s="4" t="inlineStr">
        <is>
          <t>https://imprs-cpqm.mpg.de/apply-now</t>
        </is>
      </c>
      <c r="G245" s="4" t="inlineStr"/>
      <c r="H245" s="4" t="inlineStr">
        <is>
          <t>2026-10-21</t>
        </is>
      </c>
    </row>
    <row r="246">
      <c r="A246" s="4" t="inlineStr">
        <is>
          <t>Max Planck Institute for Chemical Physics of Solids (MPI CPfS) and TU Dresden</t>
        </is>
      </c>
      <c r="B246" s="4" t="inlineStr">
        <is>
          <t>Physics GRE</t>
        </is>
      </c>
      <c r="C246" s="4" t="inlineStr">
        <is>
          <t>Not stated</t>
        </is>
      </c>
      <c r="D246" s="4" t="inlineStr">
        <is>
          <t>Not stated on the page checked</t>
        </is>
      </c>
      <c r="E246" s="4" t="inlineStr">
        <is>
          <t>(no statement found)</t>
        </is>
      </c>
      <c r="F246" s="4" t="inlineStr">
        <is>
          <t>https://imprs-cpqm.mpg.de/apply-now</t>
        </is>
      </c>
      <c r="G246" s="4" t="inlineStr"/>
      <c r="H246" s="4" t="inlineStr">
        <is>
          <t>2026-10-21</t>
        </is>
      </c>
    </row>
    <row r="247">
      <c r="A247" s="4" t="inlineStr">
        <is>
          <t>Max Planck Institute for Chemical Physics of Solids (MPI CPfS) and TU Dresden</t>
        </is>
      </c>
      <c r="B247" s="4" t="inlineStr">
        <is>
          <t>TOEFL minimum</t>
        </is>
      </c>
      <c r="C247" s="4" t="inlineStr">
        <is>
          <t>Not stated</t>
        </is>
      </c>
      <c r="D247" s="4" t="inlineStr">
        <is>
          <t>No minimum score: language certificates are generally not required</t>
        </is>
      </c>
      <c r="E247" s="4" t="inlineStr">
        <is>
          <t>In general, you don't need to provide any language certificates to get admitted to IMPRS-CPQM.</t>
        </is>
      </c>
      <c r="F247" s="4" t="inlineStr">
        <is>
          <t>https://imprs-cpqm.mpg.de/15626/faq</t>
        </is>
      </c>
      <c r="G247" s="4" t="inlineStr"/>
      <c r="H247" s="4" t="inlineStr">
        <is>
          <t>2026-10-21</t>
        </is>
      </c>
    </row>
    <row r="248">
      <c r="A248" s="4" t="inlineStr">
        <is>
          <t>Max Planck Institute for Chemical Physics of Solids (MPI CPfS) and TU Dresden</t>
        </is>
      </c>
      <c r="B248" s="4" t="inlineStr">
        <is>
          <t>English-test waiver (English-medium degree)</t>
        </is>
      </c>
      <c r="C248" s="4" t="inlineStr">
        <is>
          <t>Conditional</t>
        </is>
      </c>
      <c r="D248" s="4" t="inlineStr">
        <is>
          <t>No English certificate is generally needed; the exception is projects involving the University of St Andrews, which requires evidence of English proficiency</t>
        </is>
      </c>
      <c r="E248" s="4" t="inlineStr">
        <is>
          <t>In general, you don't need to provide any language certificates to get admitted to IMPRS-CPQM. The one exception to this rule is that the University of St Andrews does require evidence of your English language proficiency.</t>
        </is>
      </c>
      <c r="F248" s="4" t="inlineStr">
        <is>
          <t>https://imprs-cpqm.mpg.de/15626/faq</t>
        </is>
      </c>
      <c r="G248" s="4" t="inlineStr"/>
      <c r="H248" s="4" t="inlineStr">
        <is>
          <t>2026-10-21</t>
        </is>
      </c>
    </row>
    <row r="249">
      <c r="A249" s="4" t="inlineStr">
        <is>
          <t>Max Planck Institute for Chemical Physics of Solids (MPI CPfS) and TU Dresden</t>
        </is>
      </c>
      <c r="B249" s="4" t="inlineStr">
        <is>
          <t>Supervisor before admission</t>
        </is>
      </c>
      <c r="C249" s="4" t="inlineStr">
        <is>
          <t>Not required</t>
        </is>
      </c>
      <c r="D249" s="4" t="inlineStr">
        <is>
          <t>Central application via the online form; do not send applications to individual PIs. Project supervisors and a PI team review applications</t>
        </is>
      </c>
      <c r="E249" s="4" t="inlineStr">
        <is>
          <t>Also, please do not send your application to individual PIs.  ||  Written applications will be considered by the supervisors of the projects applied for, and by a team selected from PIs at the participating institutions. (https://imprs-cpqm.mpg.de/101737/Selection)</t>
        </is>
      </c>
      <c r="F249" s="4" t="inlineStr">
        <is>
          <t>https://imprs-cpqm.mpg.de/apply-now</t>
        </is>
      </c>
      <c r="G249" s="4" t="inlineStr"/>
      <c r="H249" s="4" t="inlineStr">
        <is>
          <t>2026-10-21</t>
        </is>
      </c>
    </row>
    <row r="250">
      <c r="A250" s="4" t="inlineStr">
        <is>
          <t>Max Planck Institute for Chemical Physics of Solids (MPI CPfS) and TU Dresden</t>
        </is>
      </c>
      <c r="B250" s="4" t="inlineStr">
        <is>
          <t>PhD funding</t>
        </is>
      </c>
      <c r="C250" s="4" t="inlineStr">
        <is>
          <t>Guaranteed</t>
        </is>
      </c>
      <c r="D250" s="4" t="inlineStr">
        <is>
          <t>All students are supported: in Germany on the standard Max Planck PhD contract; in the UK at the national stipend rate, with St Andrews tuition covered</t>
        </is>
      </c>
      <c r="E250" s="4" t="inlineStr">
        <is>
          <t>Students in IMPRS-CPQM will be supported according to the norms of the country in which they are performing their research. | While based in Germany they will be remunerated on the contract basis that applies to all PhD students working in Germany at Max Planck Institutes</t>
        </is>
      </c>
      <c r="F250" s="4" t="inlineStr">
        <is>
          <t>https://imprs-cpqm.mpg.de/3403/Financial_Support</t>
        </is>
      </c>
      <c r="G250" s="4" t="inlineStr"/>
      <c r="H250" s="4" t="inlineStr">
        <is>
          <t>2026-10-21</t>
        </is>
      </c>
    </row>
    <row r="251">
      <c r="A251" s="4" t="inlineStr">
        <is>
          <t>Max Planck Institute for Chemical Physics of Solids (MPI CPfS) and TU Dresden</t>
        </is>
      </c>
      <c r="B251" s="4" t="inlineStr">
        <is>
          <t>Entry route</t>
        </is>
      </c>
      <c r="C251" s="4" t="inlineStr">
        <is>
          <t>Either</t>
        </is>
      </c>
      <c r="D251" s="4" t="inlineStr">
        <is>
          <t>Outstanding bachelor's or master's accepted; bachelor's holders take extra graduate courses to reach master's level</t>
        </is>
      </c>
      <c r="E251" s="4" t="inlineStr">
        <is>
          <t>Applicants are expected to have an outstanding Bachelor or Master degree in a field of study which is well-aligned with our research activities. If you join IMPRS-CPQM holding a Bachelor degree, you will do extra graduate courses to take you to the equivalent Masters level.</t>
        </is>
      </c>
      <c r="F251" s="4" t="inlineStr">
        <is>
          <t>https://imprs-cpqm.mpg.de/apply-now</t>
        </is>
      </c>
      <c r="G251" s="4" t="inlineStr"/>
      <c r="H251" s="4" t="inlineStr">
        <is>
          <t>2026-10-21</t>
        </is>
      </c>
    </row>
    <row r="252">
      <c r="A252" s="4" t="inlineStr">
        <is>
          <t>Max Planck Institute for Nuclear Physics (MPIK) and Heidelberg University</t>
        </is>
      </c>
      <c r="B252" s="4" t="inlineStr">
        <is>
          <t>Deadline (2027 entry)</t>
        </is>
      </c>
      <c r="C252" s="4" t="inlineStr">
        <is>
          <t>2026-11-01</t>
        </is>
      </c>
      <c r="D252" s="4" t="inlineStr">
        <is>
          <t>Nov 1, 2026 for the 2026/2027 winter round (complete applications including reference letters)</t>
        </is>
      </c>
      <c r="E252" s="4" t="inlineStr">
        <is>
          <t>The 2026/2027 winter application round is currently open. | The submission deadline for complete applications including reference letters is 1st November 2026.</t>
        </is>
      </c>
      <c r="F252" s="4" t="inlineStr">
        <is>
          <t>https://www.mpi-hd.mpg.de/imprs-qd/application/</t>
        </is>
      </c>
      <c r="G252" s="4" t="inlineStr">
        <is>
          <t>act by 2026-11-01</t>
        </is>
      </c>
      <c r="H252" s="4" t="inlineStr">
        <is>
          <t>2026-10-21</t>
        </is>
      </c>
    </row>
    <row r="253">
      <c r="A253" s="4" t="inlineStr">
        <is>
          <t>Max Planck Institute for Nuclear Physics (MPIK) and Heidelberg University</t>
        </is>
      </c>
      <c r="B253" s="4" t="inlineStr">
        <is>
          <t>Application fee</t>
        </is>
      </c>
      <c r="C253" s="4" t="inlineStr">
        <is>
          <t>Not stated</t>
        </is>
      </c>
      <c r="D253" s="4" t="inlineStr">
        <is>
          <t>Not stated on the page checked</t>
        </is>
      </c>
      <c r="E253" s="4" t="inlineStr">
        <is>
          <t>(no statement found)</t>
        </is>
      </c>
      <c r="F253" s="4" t="inlineStr">
        <is>
          <t>https://www.mpi-hd.mpg.de/imprs-qd/application/</t>
        </is>
      </c>
      <c r="G253" s="4" t="inlineStr"/>
      <c r="H253" s="4" t="inlineStr">
        <is>
          <t>2026-10-21</t>
        </is>
      </c>
    </row>
    <row r="254">
      <c r="A254" s="4" t="inlineStr">
        <is>
          <t>Max Planck Institute for Nuclear Physics (MPIK) and Heidelberg University</t>
        </is>
      </c>
      <c r="B254" s="4" t="inlineStr">
        <is>
          <t>Intl fee waiver</t>
        </is>
      </c>
      <c r="C254" s="4" t="inlineStr">
        <is>
          <t>Not stated</t>
        </is>
      </c>
      <c r="D254" s="4" t="inlineStr">
        <is>
          <t>Not stated on the page checked</t>
        </is>
      </c>
      <c r="E254" s="4" t="inlineStr">
        <is>
          <t>(no statement found)</t>
        </is>
      </c>
      <c r="F254" s="4" t="inlineStr">
        <is>
          <t>https://www.mpi-hd.mpg.de/imprs-qd/application/</t>
        </is>
      </c>
      <c r="G254" s="4" t="inlineStr"/>
      <c r="H254" s="4" t="inlineStr">
        <is>
          <t>2026-10-21</t>
        </is>
      </c>
    </row>
    <row r="255">
      <c r="A255" s="4" t="inlineStr">
        <is>
          <t>Max Planck Institute for Nuclear Physics (MPIK) and Heidelberg University</t>
        </is>
      </c>
      <c r="B255" s="4" t="inlineStr">
        <is>
          <t>GRE General</t>
        </is>
      </c>
      <c r="C255" s="4" t="inlineStr">
        <is>
          <t>Not stated</t>
        </is>
      </c>
      <c r="D255" s="4" t="inlineStr">
        <is>
          <t>Not stated on the page checked</t>
        </is>
      </c>
      <c r="E255" s="4" t="inlineStr">
        <is>
          <t>(no statement found)</t>
        </is>
      </c>
      <c r="F255" s="4" t="inlineStr">
        <is>
          <t>https://www.mpi-hd.mpg.de/imprs-qd/application/</t>
        </is>
      </c>
      <c r="G255" s="4" t="inlineStr"/>
      <c r="H255" s="4" t="inlineStr">
        <is>
          <t>2026-10-21</t>
        </is>
      </c>
    </row>
    <row r="256">
      <c r="A256" s="4" t="inlineStr">
        <is>
          <t>Max Planck Institute for Nuclear Physics (MPIK) and Heidelberg University</t>
        </is>
      </c>
      <c r="B256" s="4" t="inlineStr">
        <is>
          <t>Physics GRE</t>
        </is>
      </c>
      <c r="C256" s="4" t="inlineStr">
        <is>
          <t>Not stated</t>
        </is>
      </c>
      <c r="D256" s="4" t="inlineStr">
        <is>
          <t>Not stated on the page checked</t>
        </is>
      </c>
      <c r="E256" s="4" t="inlineStr">
        <is>
          <t>(no statement found)</t>
        </is>
      </c>
      <c r="F256" s="4" t="inlineStr">
        <is>
          <t>https://www.mpi-hd.mpg.de/imprs-qd/application/</t>
        </is>
      </c>
      <c r="G256" s="4" t="inlineStr"/>
      <c r="H256" s="4" t="inlineStr">
        <is>
          <t>2026-10-21</t>
        </is>
      </c>
    </row>
    <row r="257">
      <c r="A257" s="4" t="inlineStr">
        <is>
          <t>Max Planck Institute for Nuclear Physics (MPIK) and Heidelberg University</t>
        </is>
      </c>
      <c r="B257" s="4" t="inlineStr">
        <is>
          <t>TOEFL minimum</t>
        </is>
      </c>
      <c r="C257" s="4" t="inlineStr">
        <is>
          <t>Not stated</t>
        </is>
      </c>
      <c r="D257" s="4" t="inlineStr">
        <is>
          <t>No minimum score stated; proof of English required if your mother tongue is not English or German</t>
        </is>
      </c>
      <c r="E257" s="4" t="inlineStr">
        <is>
          <t>Proof of proficiency in English (if mother tongue is not English or German)</t>
        </is>
      </c>
      <c r="F257" s="4" t="inlineStr">
        <is>
          <t>https://www.mpi-hd.mpg.de/imprs-qd/application/</t>
        </is>
      </c>
      <c r="G257" s="4" t="inlineStr"/>
      <c r="H257" s="4" t="inlineStr">
        <is>
          <t>2026-10-21</t>
        </is>
      </c>
    </row>
    <row r="258">
      <c r="A258" s="4" t="inlineStr">
        <is>
          <t>Max Planck Institute for Nuclear Physics (MPIK) and Heidelberg University</t>
        </is>
      </c>
      <c r="B258" s="4" t="inlineStr">
        <is>
          <t>English-test waiver (English-medium degree)</t>
        </is>
      </c>
      <c r="C258" s="4" t="inlineStr">
        <is>
          <t>Not stated</t>
        </is>
      </c>
      <c r="D258" s="4" t="inlineStr">
        <is>
          <t>Proof of English required if your mother tongue is not English or German; the page does not say whether an English-medium degree counts</t>
        </is>
      </c>
      <c r="E258" s="4" t="inlineStr">
        <is>
          <t>Proof of proficiency in English (if mother tongue is not English or German)</t>
        </is>
      </c>
      <c r="F258" s="4" t="inlineStr">
        <is>
          <t>https://www.mpi-hd.mpg.de/imprs-qd/application/</t>
        </is>
      </c>
      <c r="G258" s="4" t="inlineStr"/>
      <c r="H258" s="4" t="inlineStr">
        <is>
          <t>2026-10-21</t>
        </is>
      </c>
    </row>
    <row r="259">
      <c r="A259" s="4" t="inlineStr">
        <is>
          <t>Max Planck Institute for Nuclear Physics (MPIK) and Heidelberg University</t>
        </is>
      </c>
      <c r="B259" s="4" t="inlineStr">
        <is>
          <t>Supervisor before admission</t>
        </is>
      </c>
      <c r="C259" s="4" t="inlineStr">
        <is>
          <t>Not stated</t>
        </is>
      </c>
      <c r="D259" s="4" t="inlineStr">
        <is>
          <t>No pre-application supervisor rule stated; short-listed candidates interview with their potential supervisors</t>
        </is>
      </c>
      <c r="E259" s="4" t="inlineStr">
        <is>
          <t>In general, short-listed candidates will be invited for interviews with their potential supervisors and an oral presentation of their Master projects.</t>
        </is>
      </c>
      <c r="F259" s="4" t="inlineStr">
        <is>
          <t>https://www.mpi-hd.mpg.de/imprs-qd/application/</t>
        </is>
      </c>
      <c r="G259" s="4" t="inlineStr"/>
      <c r="H259" s="4" t="inlineStr">
        <is>
          <t>2026-10-21</t>
        </is>
      </c>
    </row>
    <row r="260">
      <c r="A260" s="4" t="inlineStr">
        <is>
          <t>Max Planck Institute for Nuclear Physics (MPIK) and Heidelberg University</t>
        </is>
      </c>
      <c r="B260" s="4" t="inlineStr">
        <is>
          <t>PhD funding</t>
        </is>
      </c>
      <c r="C260" s="4" t="inlineStr">
        <is>
          <t>Competitive</t>
        </is>
      </c>
      <c r="D260" s="4" t="inlineStr">
        <is>
          <t>The school offers funding to selected students worldwide; admission is competitive and living-expense funding needs approval by the full IMPRS-QD Board</t>
        </is>
      </c>
      <c r="E260" s="4" t="inlineStr">
        <is>
          <t>The school offers funding to talented students from all over the world. Admission will be granted on a competitive basis.  ||  Funding for living expenses (subject to the approval of the full IMPRS-QD Board) (https://www.mpi-hd.mpg.de/imprs-qd/offers/)</t>
        </is>
      </c>
      <c r="F260" s="4" t="inlineStr">
        <is>
          <t>https://www.mpi-hd.mpg.de/imprs-qd/application/</t>
        </is>
      </c>
      <c r="G260" s="4" t="inlineStr"/>
      <c r="H260" s="4" t="inlineStr">
        <is>
          <t>2026-10-21</t>
        </is>
      </c>
    </row>
    <row r="261">
      <c r="A261" s="4" t="inlineStr">
        <is>
          <t>Max Planck Institute for Nuclear Physics (MPIK) and Heidelberg University</t>
        </is>
      </c>
      <c r="B261" s="4" t="inlineStr">
        <is>
          <t>Entry route</t>
        </is>
      </c>
      <c r="C261" s="4" t="inlineStr">
        <is>
          <t>Master's usually required</t>
        </is>
      </c>
      <c r="D261" s="4" t="inlineStr">
        <is>
          <t>M.Sc. or equivalent with an average grade of B+ or better, plus a master's thesis (or refereed publications)</t>
        </is>
      </c>
      <c r="E261" s="4" t="inlineStr">
        <is>
          <t>Master of Science degree (or equivalent), average grade B+ or better, | Master thesis (or publications in international, refereed journals),</t>
        </is>
      </c>
      <c r="F261" s="4" t="inlineStr">
        <is>
          <t>https://www.mpi-hd.mpg.de/imprs-qd/application/</t>
        </is>
      </c>
      <c r="G261" s="4" t="inlineStr"/>
      <c r="H261" s="4" t="inlineStr">
        <is>
          <t>2026-10-21</t>
        </is>
      </c>
    </row>
    <row r="262">
      <c r="A262" s="4" t="inlineStr">
        <is>
          <t>Max Planck Institute for Solar System Research (MPS), with University of Göttingen and TU Braunschweig</t>
        </is>
      </c>
      <c r="B262" s="4" t="inlineStr">
        <is>
          <t>Deadline (2027 entry)</t>
        </is>
      </c>
      <c r="C262" s="4" t="inlineStr">
        <is>
          <t>Rolling</t>
        </is>
      </c>
      <c r="D262" s="4" t="inlineStr">
        <is>
          <t>Apply any time for advertised open projects; applications are reviewed in several rounds a year. The 2025/26 call rounds closed Feb 1, Jun 1 and Oct 1, 2026; dates for the next rounds were not yet published when checked</t>
        </is>
      </c>
      <c r="E262" s="4" t="inlineStr">
        <is>
          <t>Applications may be submitted through the online portal at any time and will be reviewed on a regular basis. | Candidates can choose to submit their application (for open projects only) at any time.  ||  Timelines for application submissions in 2025/2026 ... 2026 October 1 Latest deadline for submission of application (https://www.mps.mpg.de/phd/applynow)</t>
        </is>
      </c>
      <c r="F262" s="4" t="inlineStr">
        <is>
          <t>https://www.mps.mpg.de/phd/application</t>
        </is>
      </c>
      <c r="G262" s="4" t="inlineStr">
        <is>
          <t>2026/27 round dates not yet published</t>
        </is>
      </c>
      <c r="H262" s="4" t="inlineStr">
        <is>
          <t>2026-10-21</t>
        </is>
      </c>
    </row>
    <row r="263">
      <c r="A263" s="4" t="inlineStr">
        <is>
          <t>Max Planck Institute for Solar System Research (MPS), with University of Göttingen and TU Braunschweig</t>
        </is>
      </c>
      <c r="B263" s="4" t="inlineStr">
        <is>
          <t>Application fee</t>
        </is>
      </c>
      <c r="C263" s="4" t="inlineStr">
        <is>
          <t>Not stated</t>
        </is>
      </c>
      <c r="D263" s="4" t="inlineStr">
        <is>
          <t>Not stated on the page checked</t>
        </is>
      </c>
      <c r="E263" s="4" t="inlineStr">
        <is>
          <t>(no statement found)</t>
        </is>
      </c>
      <c r="F263" s="4" t="inlineStr">
        <is>
          <t>https://www.mps.mpg.de/phd/application</t>
        </is>
      </c>
      <c r="G263" s="4" t="inlineStr"/>
      <c r="H263" s="4" t="inlineStr">
        <is>
          <t>2026-10-21</t>
        </is>
      </c>
    </row>
    <row r="264">
      <c r="A264" s="4" t="inlineStr">
        <is>
          <t>Max Planck Institute for Solar System Research (MPS), with University of Göttingen and TU Braunschweig</t>
        </is>
      </c>
      <c r="B264" s="4" t="inlineStr">
        <is>
          <t>Intl fee waiver</t>
        </is>
      </c>
      <c r="C264" s="4" t="inlineStr">
        <is>
          <t>Not stated</t>
        </is>
      </c>
      <c r="D264" s="4" t="inlineStr">
        <is>
          <t>Not stated on the page checked</t>
        </is>
      </c>
      <c r="E264" s="4" t="inlineStr">
        <is>
          <t>(no statement found)</t>
        </is>
      </c>
      <c r="F264" s="4" t="inlineStr">
        <is>
          <t>https://www.mps.mpg.de/phd/application</t>
        </is>
      </c>
      <c r="G264" s="4" t="inlineStr"/>
      <c r="H264" s="4" t="inlineStr">
        <is>
          <t>2026-10-21</t>
        </is>
      </c>
    </row>
    <row r="265">
      <c r="A265" s="4" t="inlineStr">
        <is>
          <t>Max Planck Institute for Solar System Research (MPS), with University of Göttingen and TU Braunschweig</t>
        </is>
      </c>
      <c r="B265" s="4" t="inlineStr">
        <is>
          <t>GRE General</t>
        </is>
      </c>
      <c r="C265" s="4" t="inlineStr">
        <is>
          <t>Not required</t>
        </is>
      </c>
      <c r="D265" s="4" t="inlineStr">
        <is>
          <t>GRE General not required (you may upload scores if you have them)</t>
        </is>
      </c>
      <c r="E265" s="4" t="inlineStr">
        <is>
          <t>We do not require GRE General test results, but you will have the possibility to indicate and upload your test results if you have them during the application process.</t>
        </is>
      </c>
      <c r="F265" s="4" t="inlineStr">
        <is>
          <t>https://www.mps.mpg.de/phd/faq</t>
        </is>
      </c>
      <c r="G265" s="4" t="inlineStr"/>
      <c r="H265" s="4" t="inlineStr">
        <is>
          <t>2026-10-21</t>
        </is>
      </c>
    </row>
    <row r="266">
      <c r="A266" s="4" t="inlineStr">
        <is>
          <t>Max Planck Institute for Solar System Research (MPS), with University of Göttingen and TU Braunschweig</t>
        </is>
      </c>
      <c r="B266" s="4" t="inlineStr">
        <is>
          <t>Physics GRE</t>
        </is>
      </c>
      <c r="C266" s="4" t="inlineStr">
        <is>
          <t>Recommended</t>
        </is>
      </c>
      <c r="D266" s="4" t="inlineStr">
        <is>
          <t>GRE Physics (or Chemistry) highly recommended if your master's is from outside Europe; such applicants with scores get preference (not for geoscience projects)</t>
        </is>
      </c>
      <c r="E266" s="4" t="inlineStr">
        <is>
          <t>GRE Physics or GRE Chemistry subject test scores or equivalent are highly recommended for candidates who have obtained their Master's degree at a university outside of Europe. | Applicants with university degrees obtained outside Europe who provide GRE physics or chemistry test scores will be given preference over those who do not provide test scores.</t>
        </is>
      </c>
      <c r="F266" s="4" t="inlineStr">
        <is>
          <t>https://www.mps.mpg.de/phd/faq</t>
        </is>
      </c>
      <c r="G266" s="4" t="inlineStr"/>
      <c r="H266" s="4" t="inlineStr">
        <is>
          <t>2026-10-21</t>
        </is>
      </c>
    </row>
    <row r="267">
      <c r="A267" s="4" t="inlineStr">
        <is>
          <t>Max Planck Institute for Solar System Research (MPS), with University of Göttingen and TU Braunschweig</t>
        </is>
      </c>
      <c r="B267" s="4" t="inlineStr">
        <is>
          <t>TOEFL minimum</t>
        </is>
      </c>
      <c r="C267" s="4" t="inlineStr">
        <is>
          <t>Not stated</t>
        </is>
      </c>
      <c r="D267" s="4" t="inlineStr">
        <is>
          <t>No minimum score stated; TOEFL-iBT, IELTS Academic, Cambridge and other certificates accepted (TOEFL code 5480)</t>
        </is>
      </c>
      <c r="E267" s="4" t="inlineStr">
        <is>
          <t>Candidates whose most recent academic education has not been entirely in English or German for at least two years are required to provide a certificate documenting proficiency in English, for example Cambridge Certificate in Advanced English, Cambridge Certificate of Proficiency in English, IELTS Academic, TOEFL-iBT, TOEFL-PBT, GER, CEF, UNIcert language tests or equivalent.</t>
        </is>
      </c>
      <c r="F267" s="4" t="inlineStr">
        <is>
          <t>https://www.mps.mpg.de/phd/faq</t>
        </is>
      </c>
      <c r="G267" s="4" t="inlineStr"/>
      <c r="H267" s="4" t="inlineStr">
        <is>
          <t>2026-10-21</t>
        </is>
      </c>
    </row>
    <row r="268">
      <c r="A268" s="4" t="inlineStr">
        <is>
          <t>Max Planck Institute for Solar System Research (MPS), with University of Göttingen and TU Braunschweig</t>
        </is>
      </c>
      <c r="B268" s="4" t="inlineStr">
        <is>
          <t>English-test waiver (English-medium degree)</t>
        </is>
      </c>
      <c r="C268" s="4" t="inlineStr">
        <is>
          <t>Yes</t>
        </is>
      </c>
      <c r="D268" s="4" t="inlineStr">
        <is>
          <t>A degree from a course of study taught in English counts as proof of English; a test is needed only if your recent education was not in English or German for at least two years</t>
        </is>
      </c>
      <c r="E268" s="4" t="inlineStr">
        <is>
          <t>Proficiency in English can also be demonstrated through a degree obtained in a course of study taught in English.  ||  for candidates whose most recent academic education has not been in English or German for at least two years (https://www.mps.mpg.de/phd/applynow)</t>
        </is>
      </c>
      <c r="F268" s="4" t="inlineStr">
        <is>
          <t>https://www.mps.mpg.de/phd/faq</t>
        </is>
      </c>
      <c r="G268" s="4" t="inlineStr"/>
      <c r="H268" s="4" t="inlineStr">
        <is>
          <t>2026-10-21</t>
        </is>
      </c>
    </row>
    <row r="269">
      <c r="A269" s="4" t="inlineStr">
        <is>
          <t>Max Planck Institute for Solar System Research (MPS), with University of Göttingen and TU Braunschweig</t>
        </is>
      </c>
      <c r="B269" s="4" t="inlineStr">
        <is>
          <t>Supervisor before admission</t>
        </is>
      </c>
      <c r="C269" s="4" t="inlineStr">
        <is>
          <t>Not required</t>
        </is>
      </c>
      <c r="D269" s="4" t="inlineStr">
        <is>
          <t>Contacting faculty first is not mandatory (it may help); a committee screens applications and the potential supervisor makes the final decision</t>
        </is>
      </c>
      <c r="E269" s="4" t="inlineStr">
        <is>
          <t>While it is not mandatory to contact the members of our faculty before sending your application, your chances of getting accepted into the programme may increase if you have gotten a particular potential advisor interested in working with you. | The final decision about the acceptance of a student rests with their potential supervisors.</t>
        </is>
      </c>
      <c r="F269" s="4" t="inlineStr">
        <is>
          <t>https://www.mps.mpg.de/phd/faq</t>
        </is>
      </c>
      <c r="G269" s="4" t="inlineStr"/>
      <c r="H269" s="4" t="inlineStr">
        <is>
          <t>2026-10-21</t>
        </is>
      </c>
    </row>
    <row r="270">
      <c r="A270" s="4" t="inlineStr">
        <is>
          <t>Max Planck Institute for Solar System Research (MPS), with University of Göttingen and TU Braunschweig</t>
        </is>
      </c>
      <c r="B270" s="4" t="inlineStr">
        <is>
          <t>PhD funding</t>
        </is>
      </c>
      <c r="C270" s="4" t="inlineStr">
        <is>
          <t>Typical</t>
        </is>
      </c>
      <c r="D270" s="4" t="inlineStr">
        <is>
          <t>Usually a doctoral support contract at 75% of TVöD E13 (about EUR 2,400 net/month on average); some students are on third-party scholarships. The 2025/26 call offered successful applicants a 3.5-year contract plus wrap-up funding</t>
        </is>
      </c>
      <c r="E270" s="4" t="inlineStr">
        <is>
          <t>Doctoral candidates are usually employed on a doctoral support contract. | Some are funded through third-party scholarships. | the net income after deductions can be expected to amount to 2400 EUR on average per month  ||  Successful applicants will be offered a 3,5-year doctoral support contract with remuneration dependent on TVöD (75% E13) according to the German public salary scale, as well as wrap-up funding. (https://www.mps.mpg.de/phd/applynow)</t>
        </is>
      </c>
      <c r="F270" s="4" t="inlineStr">
        <is>
          <t>https://www.mps.mpg.de/phd/funding</t>
        </is>
      </c>
      <c r="G270" s="4" t="inlineStr"/>
      <c r="H270" s="4" t="inlineStr">
        <is>
          <t>2026-10-21</t>
        </is>
      </c>
    </row>
    <row r="271">
      <c r="A271" s="4" t="inlineStr">
        <is>
          <t>Max Planck Institute for Solar System Research (MPS), with University of Göttingen and TU Braunschweig</t>
        </is>
      </c>
      <c r="B271" s="4" t="inlineStr">
        <is>
          <t>Entry route</t>
        </is>
      </c>
      <c r="C271" s="4" t="inlineStr">
        <is>
          <t>Master's usually required</t>
        </is>
      </c>
      <c r="D271" s="4" t="inlineStr">
        <is>
          <t>M.Sc. or equivalent (with a written master's thesis) held or about to be obtained; apply only once you have started your master's thesis</t>
        </is>
      </c>
      <c r="E271" s="4" t="inlineStr">
        <is>
          <t>They must have, or must be about to obtain, an M.Sc. degree or equivalent in physics, chemistry, geosciences or a related field, including a written Masters thesis  ||  please only apply after you have at least started to work on your Master’s thesis project. (https://www.mps.mpg.de/phd/application)</t>
        </is>
      </c>
      <c r="F271" s="4" t="inlineStr">
        <is>
          <t>https://www.mps.mpg.de/phd/applynow</t>
        </is>
      </c>
      <c r="G271" s="4" t="inlineStr"/>
      <c r="H271" s="4" t="inlineStr">
        <is>
          <t>2026-10-21</t>
        </is>
      </c>
    </row>
    <row r="272">
      <c r="A272" s="4" t="inlineStr">
        <is>
          <t>McGill University</t>
        </is>
      </c>
      <c r="B272" s="4" t="inlineStr">
        <is>
          <t>Deadline (2027 entry)</t>
        </is>
      </c>
      <c r="C272" s="4" t="inlineStr">
        <is>
          <t>2026-12-15</t>
        </is>
      </c>
      <c r="D272" s="4" t="inlineStr">
        <is>
          <t>December 15 for September (Fall) admission, international and domestic. Year inferred for Fall 2027.</t>
        </is>
      </c>
      <c r="E272" s="4" t="inlineStr">
        <is>
          <t>For September admission the deadline is December 15th.</t>
        </is>
      </c>
      <c r="F272" s="4" t="inlineStr">
        <is>
          <t>https://www.physics.mcgill.ca/grads/application.html</t>
        </is>
      </c>
      <c r="G272" s="4" t="inlineStr">
        <is>
          <t>year inferred</t>
        </is>
      </c>
      <c r="H272" s="4" t="inlineStr">
        <is>
          <t>2026-10-21</t>
        </is>
      </c>
    </row>
    <row r="273">
      <c r="A273" s="4" t="inlineStr">
        <is>
          <t>McGill University</t>
        </is>
      </c>
      <c r="B273" s="4" t="inlineStr">
        <is>
          <t>Application fee</t>
        </is>
      </c>
      <c r="C273" s="4" t="inlineStr">
        <is>
          <t>120.99 CAD</t>
        </is>
      </c>
      <c r="D273" s="4" t="inlineStr">
        <is>
          <t>CAD 120.99</t>
        </is>
      </c>
      <c r="E273" s="4" t="inlineStr">
        <is>
          <t>The graduate application fee is $120.99.</t>
        </is>
      </c>
      <c r="F273" s="4" t="inlineStr">
        <is>
          <t>https://www.physics.mcgill.ca/grads/application.html</t>
        </is>
      </c>
      <c r="G273" s="4" t="inlineStr"/>
      <c r="H273" s="4" t="inlineStr">
        <is>
          <t>2026-10-21</t>
        </is>
      </c>
    </row>
    <row r="274">
      <c r="A274" s="4" t="inlineStr">
        <is>
          <t>McGill University</t>
        </is>
      </c>
      <c r="B274" s="4" t="inlineStr">
        <is>
          <t>Intl fee waiver</t>
        </is>
      </c>
      <c r="C274" s="4" t="inlineStr">
        <is>
          <t>Not stated</t>
        </is>
      </c>
      <c r="D274" s="4" t="inlineStr">
        <is>
          <t>No waiver route stated on the pages checked</t>
        </is>
      </c>
      <c r="E274" s="4" t="inlineStr">
        <is>
          <t>(no statement found)</t>
        </is>
      </c>
      <c r="F274" s="4" t="inlineStr">
        <is>
          <t>https://www.physics.mcgill.ca/grads/application.html</t>
        </is>
      </c>
      <c r="G274" s="4" t="inlineStr"/>
      <c r="H274" s="4" t="inlineStr">
        <is>
          <t>2026-10-21</t>
        </is>
      </c>
    </row>
    <row r="275">
      <c r="A275" s="4" t="inlineStr">
        <is>
          <t>McGill University</t>
        </is>
      </c>
      <c r="B275" s="4" t="inlineStr">
        <is>
          <t>GRE General</t>
        </is>
      </c>
      <c r="C275" s="4" t="inlineStr">
        <is>
          <t>Optional</t>
        </is>
      </c>
      <c r="D275" s="4" t="inlineStr">
        <is>
          <t>Not required, but encouraged because many supervisors use it</t>
        </is>
      </c>
      <c r="E275" s="4" t="inlineStr">
        <is>
          <t>GRE is not required. However, applicants are encouraged to take the GRE (General and Subject) and provide the results, as many supervisors make use of this information in selecting students.</t>
        </is>
      </c>
      <c r="F275" s="4" t="inlineStr">
        <is>
          <t>https://www.physics.mcgill.ca/grads/application.html</t>
        </is>
      </c>
      <c r="G275" s="4" t="inlineStr"/>
      <c r="H275" s="4" t="inlineStr">
        <is>
          <t>2026-10-21</t>
        </is>
      </c>
    </row>
    <row r="276">
      <c r="A276" s="4" t="inlineStr">
        <is>
          <t>McGill University</t>
        </is>
      </c>
      <c r="B276" s="4" t="inlineStr">
        <is>
          <t>Physics GRE</t>
        </is>
      </c>
      <c r="C276" s="4" t="inlineStr">
        <is>
          <t>Recommended</t>
        </is>
      </c>
      <c r="D276" s="4" t="inlineStr">
        <is>
          <t>Not required; encouraged (General and Subject); ask your potential supervisor</t>
        </is>
      </c>
      <c r="E276" s="4" t="inlineStr">
        <is>
          <t>GRE is not required. However, applicants are encouraged to take the GRE (General and Subject) and provide the results</t>
        </is>
      </c>
      <c r="F276" s="4" t="inlineStr">
        <is>
          <t>https://www.physics.mcgill.ca/grads/application.html</t>
        </is>
      </c>
      <c r="G276" s="4" t="inlineStr"/>
      <c r="H276" s="4" t="inlineStr">
        <is>
          <t>2026-10-21</t>
        </is>
      </c>
    </row>
    <row r="277">
      <c r="A277" s="4" t="inlineStr">
        <is>
          <t>McGill University</t>
        </is>
      </c>
      <c r="B277" s="4" t="inlineStr">
        <is>
          <t>TOEFL minimum</t>
        </is>
      </c>
      <c r="C277" s="4" t="inlineStr">
        <is>
          <t>86</t>
        </is>
      </c>
      <c r="D277" s="4" t="inlineStr">
        <is>
          <t>TOEFL iBT 86 with no component below 20; IELTS 6.5 overall</t>
        </is>
      </c>
      <c r="E277" s="4" t="inlineStr">
        <is>
          <t>a minimum score of 86 for the internet based test with each component not less than 20. For the IELTS exam, with a minimum overall band score of 6.5 is required.</t>
        </is>
      </c>
      <c r="F277" s="4" t="inlineStr">
        <is>
          <t>https://www.physics.mcgill.ca/grads/application.html</t>
        </is>
      </c>
      <c r="G277" s="4" t="inlineStr"/>
      <c r="H277" s="4" t="inlineStr">
        <is>
          <t>2026-10-21</t>
        </is>
      </c>
    </row>
    <row r="278">
      <c r="A278" s="4" t="inlineStr">
        <is>
          <t>McGill University</t>
        </is>
      </c>
      <c r="B278" s="4" t="inlineStr">
        <is>
          <t>English-test waiver (English-medium degree)</t>
        </is>
      </c>
      <c r="C278" s="4" t="inlineStr">
        <is>
          <t>Yes</t>
        </is>
      </c>
      <c r="D278" s="4" t="inlineStr">
        <is>
          <t>Normally exempt with a degree from a recognized foreign institution where English is the language of instruction; send proof to the department</t>
        </is>
      </c>
      <c r="E278" s="4" t="inlineStr">
        <is>
          <t>Has obtained (or is about to obtain) an undergraduate or graduate degree from a recognized foreign institution where English is the language of instruction | you must send documentation proving you meet one of the conditions directly to your department</t>
        </is>
      </c>
      <c r="F278" s="4" t="inlineStr">
        <is>
          <t>https://www.mcgill.ca/gradapplicants/how-apply/you-apply-mcgill/proficiency</t>
        </is>
      </c>
      <c r="G278" s="4" t="inlineStr"/>
      <c r="H278" s="4" t="inlineStr">
        <is>
          <t>2026-10-21</t>
        </is>
      </c>
    </row>
    <row r="279">
      <c r="A279" s="4" t="inlineStr">
        <is>
          <t>McGill University</t>
        </is>
      </c>
      <c r="B279" s="4" t="inlineStr">
        <is>
          <t>Supervisor before admission</t>
        </is>
      </c>
      <c r="C279" s="4" t="inlineStr">
        <is>
          <t>Recommended</t>
        </is>
      </c>
      <c r="D279" s="4" t="inlineStr">
        <is>
          <t>Not required, but highly recommended: professors select students for their groups</t>
        </is>
      </c>
      <c r="E279" s="4" t="inlineStr">
        <is>
          <t>It's not a requirement to get in touch with potential supervisors ahead of time, but it's highly recommended that you do. In our department, individual professors select students to join their research groups.</t>
        </is>
      </c>
      <c r="F279" s="4" t="inlineStr">
        <is>
          <t>https://www.physics.mcgill.ca/grads/faq.html</t>
        </is>
      </c>
      <c r="G279" s="4" t="inlineStr"/>
      <c r="H279" s="4" t="inlineStr">
        <is>
          <t>2026-10-21</t>
        </is>
      </c>
    </row>
    <row r="280">
      <c r="A280" s="4" t="inlineStr">
        <is>
          <t>McGill University</t>
        </is>
      </c>
      <c r="B280" s="4" t="inlineStr">
        <is>
          <t>PhD funding</t>
        </is>
      </c>
      <c r="C280" s="4" t="inlineStr">
        <is>
          <t>Guaranteed</t>
        </is>
      </c>
      <c r="D280" s="4" t="inlineStr">
        <is>
          <t>All graduate students receive a standard stipend, plus possible TA work</t>
        </is>
      </c>
      <c r="E280" s="4" t="inlineStr">
        <is>
          <t>Our graduate students all receive a standard stipend, and in addition you can be hired as a teaching assistant</t>
        </is>
      </c>
      <c r="F280" s="4" t="inlineStr">
        <is>
          <t>https://www.physics.mcgill.ca/grads/faq.html</t>
        </is>
      </c>
      <c r="G280" s="4" t="inlineStr"/>
      <c r="H280" s="4" t="inlineStr">
        <is>
          <t>2026-10-21</t>
        </is>
      </c>
    </row>
    <row r="281">
      <c r="A281" s="4" t="inlineStr">
        <is>
          <t>McGill University</t>
        </is>
      </c>
      <c r="B281" s="4" t="inlineStr">
        <is>
          <t>Entry route</t>
        </is>
      </c>
      <c r="C281" s="4" t="inlineStr">
        <is>
          <t>Master's usually required</t>
        </is>
      </c>
      <c r="D281" s="4" t="inlineStr">
        <is>
          <t>PhD applicants should be completing or have completed an MSc; BSc holders apply to the MSc</t>
        </is>
      </c>
      <c r="E281" s="4" t="inlineStr">
        <is>
          <t>or have completed an M.Sc. degree can apply to our Ph.D. program. Students who are completing or have completed a B.Sc. degree should apply to our M.Sc. program.</t>
        </is>
      </c>
      <c r="F281" s="4" t="inlineStr">
        <is>
          <t>https://www.physics.mcgill.ca/grads/application.html</t>
        </is>
      </c>
      <c r="G281" s="4" t="inlineStr"/>
      <c r="H281" s="4" t="inlineStr">
        <is>
          <t>2026-10-21</t>
        </is>
      </c>
    </row>
    <row r="282">
      <c r="A282" s="4" t="inlineStr">
        <is>
          <t>McMaster University</t>
        </is>
      </c>
      <c r="B282" s="4" t="inlineStr">
        <is>
          <t>Deadline (2027 entry)</t>
        </is>
      </c>
      <c r="C282" s="4" t="inlineStr">
        <is>
          <t>2027-02-01</t>
        </is>
      </c>
      <c r="D282" s="4" t="inlineStr">
        <is>
          <t>No formal deadline (rolling, offers while funding lasts); international applicants strongly encouraged to apply by February 1 for internal scholarships. SGS: complete by January 31 for full scholarship consideration; considered until April 30.</t>
        </is>
      </c>
      <c r="E282" s="4" t="inlineStr">
        <is>
          <t>international applicants are strongly encouraged to submit their application materials by February 1st, in order to be considered for internal scholarships.  ||  Applications that are completed by January 31 are given full consideration for scholarships; applications are considered until April 30 (https://gs.mcmaster.ca/program/physics-and-astronomy/)</t>
        </is>
      </c>
      <c r="F282" s="4" t="inlineStr">
        <is>
          <t>https://physics.mcmaster.ca/graduate-studies/how-to-apply/</t>
        </is>
      </c>
      <c r="G282" s="4" t="inlineStr">
        <is>
          <t>year inferred; rolling</t>
        </is>
      </c>
      <c r="H282" s="4" t="inlineStr">
        <is>
          <t>2026-10-21</t>
        </is>
      </c>
    </row>
    <row r="283">
      <c r="A283" s="4" t="inlineStr">
        <is>
          <t>McMaster University</t>
        </is>
      </c>
      <c r="B283" s="4" t="inlineStr">
        <is>
          <t>Application fee</t>
        </is>
      </c>
      <c r="C283" s="4" t="inlineStr">
        <is>
          <t>150 CAD</t>
        </is>
      </c>
      <c r="D283" s="4" t="inlineStr">
        <is>
          <t>CAD 150, non-refundable, by credit or debit card</t>
        </is>
      </c>
      <c r="E283" s="4" t="inlineStr">
        <is>
          <t>Have a valid credit card or debit card ready for the application fee ($150 CAD).</t>
        </is>
      </c>
      <c r="F283" s="4" t="inlineStr">
        <is>
          <t>https://gs.mcmaster.ca/how-to-apply/</t>
        </is>
      </c>
      <c r="G283" s="4" t="inlineStr"/>
      <c r="H283" s="4" t="inlineStr">
        <is>
          <t>2026-10-21</t>
        </is>
      </c>
    </row>
    <row r="284">
      <c r="A284" s="4" t="inlineStr">
        <is>
          <t>McMaster University</t>
        </is>
      </c>
      <c r="B284" s="4" t="inlineStr">
        <is>
          <t>Intl fee waiver</t>
        </is>
      </c>
      <c r="C284" s="4" t="inlineStr">
        <is>
          <t>Not stated</t>
        </is>
      </c>
      <c r="D284" s="4" t="inlineStr">
        <is>
          <t>No waiver route stated on the pages checked</t>
        </is>
      </c>
      <c r="E284" s="4" t="inlineStr">
        <is>
          <t>(no statement found)</t>
        </is>
      </c>
      <c r="F284" s="4" t="inlineStr">
        <is>
          <t>https://gs.mcmaster.ca/how-to-apply/</t>
        </is>
      </c>
      <c r="G284" s="4" t="inlineStr"/>
      <c r="H284" s="4" t="inlineStr">
        <is>
          <t>2026-10-21</t>
        </is>
      </c>
    </row>
    <row r="285">
      <c r="A285" s="4" t="inlineStr">
        <is>
          <t>McMaster University</t>
        </is>
      </c>
      <c r="B285" s="4" t="inlineStr">
        <is>
          <t>GRE General</t>
        </is>
      </c>
      <c r="C285" s="4" t="inlineStr">
        <is>
          <t>Not stated</t>
        </is>
      </c>
      <c r="D285" s="4" t="inlineStr">
        <is>
          <t>No GRE requirement listed on the pages checked</t>
        </is>
      </c>
      <c r="E285" s="4" t="inlineStr">
        <is>
          <t>(no statement found)</t>
        </is>
      </c>
      <c r="F285" s="4" t="inlineStr">
        <is>
          <t>https://physics.mcmaster.ca/graduate-studies/how-to-apply/</t>
        </is>
      </c>
      <c r="G285" s="4" t="inlineStr"/>
      <c r="H285" s="4" t="inlineStr">
        <is>
          <t>2026-10-21</t>
        </is>
      </c>
    </row>
    <row r="286">
      <c r="A286" s="4" t="inlineStr">
        <is>
          <t>McMaster University</t>
        </is>
      </c>
      <c r="B286" s="4" t="inlineStr">
        <is>
          <t>Physics GRE</t>
        </is>
      </c>
      <c r="C286" s="4" t="inlineStr">
        <is>
          <t>Not stated</t>
        </is>
      </c>
      <c r="D286" s="4" t="inlineStr">
        <is>
          <t>No GRE requirement listed on the pages checked</t>
        </is>
      </c>
      <c r="E286" s="4" t="inlineStr">
        <is>
          <t>(no statement found)</t>
        </is>
      </c>
      <c r="F286" s="4" t="inlineStr">
        <is>
          <t>https://physics.mcmaster.ca/graduate-studies/how-to-apply/</t>
        </is>
      </c>
      <c r="G286" s="4" t="inlineStr"/>
      <c r="H286" s="4" t="inlineStr">
        <is>
          <t>2026-10-21</t>
        </is>
      </c>
    </row>
    <row r="287">
      <c r="A287" s="4" t="inlineStr">
        <is>
          <t>McMaster University</t>
        </is>
      </c>
      <c r="B287" s="4" t="inlineStr">
        <is>
          <t>TOEFL minimum</t>
        </is>
      </c>
      <c r="C287" s="4" t="inlineStr">
        <is>
          <t>Not stated</t>
        </is>
      </c>
      <c r="D287" s="4" t="inlineStr">
        <is>
          <t>IELTS/TOEFL uploaded 'if required'; minimum not shown on the pages checked</t>
        </is>
      </c>
      <c r="E287" s="4" t="inlineStr">
        <is>
          <t>IELTS or TOEFL test (if required) (upload)</t>
        </is>
      </c>
      <c r="F287" s="4" t="inlineStr">
        <is>
          <t>https://physics.mcmaster.ca/graduate-studies/how-to-apply/</t>
        </is>
      </c>
      <c r="G287" s="4" t="inlineStr"/>
      <c r="H287" s="4" t="inlineStr">
        <is>
          <t>2026-10-21</t>
        </is>
      </c>
    </row>
    <row r="288">
      <c r="A288" s="4" t="inlineStr">
        <is>
          <t>McMaster University</t>
        </is>
      </c>
      <c r="B288" s="4" t="inlineStr">
        <is>
          <t>English-test waiver (English-medium degree)</t>
        </is>
      </c>
      <c r="C288" s="4" t="inlineStr">
        <is>
          <t>Conditional</t>
        </is>
      </c>
      <c r="D288" s="4" t="inlineStr">
        <is>
          <t>The application asks whether your degree's official language of instruction AND evaluation was English; programs may add their own requirements</t>
        </is>
      </c>
      <c r="E288" s="4" t="inlineStr">
        <is>
          <t>In the application, indicate whether you have completed a degree where the official language of instruction and evaluation is in English by choosing Yes or No.</t>
        </is>
      </c>
      <c r="F288" s="4" t="inlineStr">
        <is>
          <t>https://gs.mcmaster.ca/how-to-apply/</t>
        </is>
      </c>
      <c r="G288" s="4" t="inlineStr"/>
      <c r="H288" s="4" t="inlineStr">
        <is>
          <t>2026-10-21</t>
        </is>
      </c>
    </row>
    <row r="289">
      <c r="A289" s="4" t="inlineStr">
        <is>
          <t>McMaster University</t>
        </is>
      </c>
      <c r="B289" s="4" t="inlineStr">
        <is>
          <t>Supervisor before admission</t>
        </is>
      </c>
      <c r="C289" s="4" t="inlineStr">
        <is>
          <t>Recommended</t>
        </is>
      </c>
      <c r="D289" s="4" t="inlineStr">
        <is>
          <t>Funding includes a research fellowship from the supervisor's grant; contact faculty directly to ask if they are taking students</t>
        </is>
      </c>
      <c r="E289" s="4" t="inlineStr">
        <is>
          <t>For interest in joining a specific research group, contact the faculty member directly and inquire if they are planning on taking on any new students.</t>
        </is>
      </c>
      <c r="F289" s="4" t="inlineStr">
        <is>
          <t>https://physics.mcmaster.ca/graduate-studies/how-to-apply/</t>
        </is>
      </c>
      <c r="G289" s="4" t="inlineStr"/>
      <c r="H289" s="4" t="inlineStr">
        <is>
          <t>2026-10-21</t>
        </is>
      </c>
    </row>
    <row r="290">
      <c r="A290" s="4" t="inlineStr">
        <is>
          <t>McMaster University</t>
        </is>
      </c>
      <c r="B290" s="4" t="inlineStr">
        <is>
          <t>PhD funding</t>
        </is>
      </c>
      <c r="C290" s="4" t="inlineStr">
        <is>
          <t>Guaranteed</t>
        </is>
      </c>
      <c r="D290" s="4" t="inlineStr">
        <is>
          <t>Full support guaranteed for all admitted students (scholarship + supervisor research scholarship + TA); minimum at least CAD 21,000 after tuition and fees</t>
        </is>
      </c>
      <c r="E290" s="4" t="inlineStr">
        <is>
          <t>While full financial support is guaranteed for all admitted graduate students | The minimum guaranteed funding level after paying tuition and fees is at least $21, 000.</t>
        </is>
      </c>
      <c r="F290" s="4" t="inlineStr">
        <is>
          <t>https://physics.mcmaster.ca/graduate-studies/how-to-apply/</t>
        </is>
      </c>
      <c r="G290" s="4" t="inlineStr"/>
      <c r="H290" s="4" t="inlineStr">
        <is>
          <t>2026-10-21</t>
        </is>
      </c>
    </row>
    <row r="291">
      <c r="A291" s="4" t="inlineStr">
        <is>
          <t>McMaster University</t>
        </is>
      </c>
      <c r="B291" s="4" t="inlineStr">
        <is>
          <t>Entry route</t>
        </is>
      </c>
      <c r="C291" s="4" t="inlineStr">
        <is>
          <t>Not stated</t>
        </is>
      </c>
      <c r="D291" s="4" t="inlineStr">
        <is>
          <t>MSc entry from an Honours BSc (B+ final year) is described; PhD entry rules for master's-equivalent degrees not stated on the pages checked</t>
        </is>
      </c>
      <c r="E291" s="4" t="inlineStr">
        <is>
          <t>The minimum requirement for admission to the M.Sc. programmes is an Honours B.Sc. degree in Physics or Engineering Physics with at least a B+ average in the final year</t>
        </is>
      </c>
      <c r="F291" s="4" t="inlineStr">
        <is>
          <t>https://physics.mcmaster.ca/graduate-studies/how-to-apply/</t>
        </is>
      </c>
      <c r="G291" s="4" t="inlineStr"/>
      <c r="H291" s="4" t="inlineStr">
        <is>
          <t>2026-10-21</t>
        </is>
      </c>
    </row>
    <row r="292">
      <c r="A292" s="4" t="inlineStr">
        <is>
          <t>North Carolina State University</t>
        </is>
      </c>
      <c r="B292" s="4" t="inlineStr">
        <is>
          <t>Deadline (2027 entry)</t>
        </is>
      </c>
      <c r="C292" s="4" t="inlineStr">
        <is>
          <t>2027-01-04</t>
        </is>
      </c>
      <c r="D292" s="4" t="inlineStr">
        <is>
          <t>Priority deadline January 4, 2027 for Fall 2027; in exceptional cases international applications accepted until March 1</t>
        </is>
      </c>
      <c r="E292" s="4" t="inlineStr">
        <is>
          <t>Priority Deadline for Fall 2027 Applications: January 4, 2027 | In exceptional cases, we will accept US applications until June 25 and international applications until March 1.</t>
        </is>
      </c>
      <c r="F292" s="4" t="inlineStr">
        <is>
          <t>https://physics.sciences.ncsu.edu/graduate/apply/</t>
        </is>
      </c>
      <c r="G292" s="4" t="inlineStr"/>
      <c r="H292" s="4" t="inlineStr">
        <is>
          <t>2026-10-21</t>
        </is>
      </c>
    </row>
    <row r="293">
      <c r="A293" s="4" t="inlineStr">
        <is>
          <t>North Carolina State University</t>
        </is>
      </c>
      <c r="B293" s="4" t="inlineStr">
        <is>
          <t>Application fee</t>
        </is>
      </c>
      <c r="C293" s="4" t="inlineStr">
        <is>
          <t>95 USD</t>
        </is>
      </c>
      <c r="D293" s="4" t="inlineStr">
        <is>
          <t>USD 95 for international applicants (USD 85 for US citizens/permanent residents)</t>
        </is>
      </c>
      <c r="E293" s="4" t="inlineStr">
        <is>
          <t>The application fee for international applicants is $95.00 in U.S. currency drawn from a U.S. bank or from an international bank with a U.S. affiliate.</t>
        </is>
      </c>
      <c r="F293" s="4" t="inlineStr">
        <is>
          <t>https://physics.sciences.ncsu.edu/graduate/apply/graduate_application_faq/</t>
        </is>
      </c>
      <c r="G293" s="4" t="inlineStr"/>
      <c r="H293" s="4" t="inlineStr">
        <is>
          <t>2026-10-21</t>
        </is>
      </c>
    </row>
    <row r="294">
      <c r="A294" s="4" t="inlineStr">
        <is>
          <t>North Carolina State University</t>
        </is>
      </c>
      <c r="B294" s="4" t="inlineStr">
        <is>
          <t>Intl fee waiver</t>
        </is>
      </c>
      <c r="C294" s="4" t="inlineStr">
        <is>
          <t>Domestic only</t>
        </is>
      </c>
      <c r="D294" s="4" t="inlineStr">
        <is>
          <t>Waiver only for the first 100 U.S.-citizen applicants with GPA above 3.0; department does not waive the fee for international students</t>
        </is>
      </c>
      <c r="E294" s="4" t="inlineStr">
        <is>
          <t>For 2027 admission, we will waive the application fee for the first 100 applicants that are American citizens and that have an undergraduate GPA of better than 3.0 . | The Physics department does NOT waive the application fee for international students.</t>
        </is>
      </c>
      <c r="F294" s="4" t="inlineStr">
        <is>
          <t>https://physics.sciences.ncsu.edu/graduate/apply/graduate_application_faq/</t>
        </is>
      </c>
      <c r="G294" s="4" t="inlineStr"/>
      <c r="H294" s="4" t="inlineStr">
        <is>
          <t>2026-10-21</t>
        </is>
      </c>
    </row>
    <row r="295">
      <c r="A295" s="4" t="inlineStr">
        <is>
          <t>North Carolina State University</t>
        </is>
      </c>
      <c r="B295" s="4" t="inlineStr">
        <is>
          <t>GRE General</t>
        </is>
      </c>
      <c r="C295" s="4" t="inlineStr">
        <is>
          <t>Optional</t>
        </is>
      </c>
      <c r="D295" s="4" t="inlineStr">
        <is>
          <t>Not listed as required; GRE scores may be added as extra material at the applicant's discretion</t>
        </is>
      </c>
      <c r="E295" s="4" t="inlineStr">
        <is>
          <t>Applicants are able to submit additional materials at their discretion. For instance, applicants include publications or copies of posters that were presented at scientific meetings, or GRE test scores if available.</t>
        </is>
      </c>
      <c r="F295" s="4" t="inlineStr">
        <is>
          <t>https://physics.sciences.ncsu.edu/graduate/apply/</t>
        </is>
      </c>
      <c r="G295" s="4" t="inlineStr">
        <is>
          <t>stated in the US applicants section; international materials list names only the Physics GRE</t>
        </is>
      </c>
      <c r="H295" s="4" t="inlineStr">
        <is>
          <t>2026-10-21</t>
        </is>
      </c>
    </row>
    <row r="296">
      <c r="A296" s="4" t="inlineStr">
        <is>
          <t>North Carolina State University</t>
        </is>
      </c>
      <c r="B296" s="4" t="inlineStr">
        <is>
          <t>Physics GRE</t>
        </is>
      </c>
      <c r="C296" s="4" t="inlineStr">
        <is>
          <t>Optional</t>
        </is>
      </c>
      <c r="D296" s="4" t="inlineStr">
        <is>
          <t>Not required; encouraged if it helps, valuable for international applicants from institutions the department rarely sees</t>
        </is>
      </c>
      <c r="E296" s="4" t="inlineStr">
        <is>
          <t>We encourage students take the Physics GRE and submit scores if they believe that it helps their application, but submission is not required.  ||  We routinely admit students without Physics GRE scores. (https://physics.sciences.ncsu.edu/graduate/apply/graduate_application_faq/)</t>
        </is>
      </c>
      <c r="F296" s="4" t="inlineStr">
        <is>
          <t>https://physics.sciences.ncsu.edu/graduate/apply/</t>
        </is>
      </c>
      <c r="G296" s="4" t="inlineStr"/>
      <c r="H296" s="4" t="inlineStr">
        <is>
          <t>2026-10-21</t>
        </is>
      </c>
    </row>
    <row r="297">
      <c r="A297" s="4" t="inlineStr">
        <is>
          <t>North Carolina State University</t>
        </is>
      </c>
      <c r="B297" s="4" t="inlineStr">
        <is>
          <t>TOEFL minimum</t>
        </is>
      </c>
      <c r="C297" s="4" t="inlineStr">
        <is>
          <t>80</t>
        </is>
      </c>
      <c r="D297" s="4" t="inlineStr">
        <is>
          <t>TOEFL iBT 80 (before Jan 21, 2026) or 4 (new scale) with section minimums; IELTS 6.5; Duolingo 110</t>
        </is>
      </c>
      <c r="E297" s="4" t="inlineStr">
        <is>
          <t>Passing the TOEFL (Test of English as a Foreign Language) with a score of 80 or above if taken prior to January 21, 2026 or with a total score of at least 4 on the Internet-based</t>
        </is>
      </c>
      <c r="F297" s="4" t="inlineStr">
        <is>
          <t>https://physics.sciences.ncsu.edu/graduate/apply/</t>
        </is>
      </c>
      <c r="G297" s="4" t="inlineStr"/>
      <c r="H297" s="4" t="inlineStr">
        <is>
          <t>2026-10-21</t>
        </is>
      </c>
    </row>
    <row r="298">
      <c r="A298" s="4" t="inlineStr">
        <is>
          <t>North Carolina State University</t>
        </is>
      </c>
      <c r="B298" s="4" t="inlineStr">
        <is>
          <t>English-test waiver (English-medium degree)</t>
        </is>
      </c>
      <c r="C298" s="4" t="inlineStr">
        <is>
          <t>Not stated</t>
        </is>
      </c>
      <c r="D298" s="4" t="inlineStr">
        <is>
          <t>Exempt if a citizen of a country where English is an official language and the language of instruction in higher education (FAQ says "the official language"); no country list on the pages checked, so India's status is not confirmed. Medium-of-instruction letters not mentioned.</t>
        </is>
      </c>
      <c r="E298" s="4" t="inlineStr">
        <is>
          <t>Be a citizen of a country where English is an official language and the language of instruction in higher education  ||  be a citizen of a country where English is the official language and the language of instruction in higher education; (https://physics.sciences.ncsu.edu/graduate/apply/graduate_application_faq/)</t>
        </is>
      </c>
      <c r="F298" s="4" t="inlineStr">
        <is>
          <t>https://physics.sciences.ncsu.edu/graduate/apply/</t>
        </is>
      </c>
      <c r="G298" s="4" t="inlineStr"/>
      <c r="H298" s="4" t="inlineStr">
        <is>
          <t>2026-10-21</t>
        </is>
      </c>
    </row>
    <row r="299">
      <c r="A299" s="4" t="inlineStr">
        <is>
          <t>North Carolina State University</t>
        </is>
      </c>
      <c r="B299" s="4" t="inlineStr">
        <is>
          <t>Supervisor before admission</t>
        </is>
      </c>
      <c r="C299" s="4" t="inlineStr">
        <is>
          <t>Not stated</t>
        </is>
      </c>
      <c r="D299" s="4" t="inlineStr">
        <is>
          <t>Not stated on the page checked (candidate statement should list possible advisers)</t>
        </is>
      </c>
      <c r="E299" s="4" t="inlineStr">
        <is>
          <t>(no statement found)</t>
        </is>
      </c>
      <c r="F299" s="4" t="inlineStr">
        <is>
          <t>https://physics.sciences.ncsu.edu/graduate/apply/</t>
        </is>
      </c>
      <c r="G299" s="4" t="inlineStr"/>
      <c r="H299" s="4" t="inlineStr">
        <is>
          <t>2026-10-21</t>
        </is>
      </c>
    </row>
    <row r="300">
      <c r="A300" s="4" t="inlineStr">
        <is>
          <t>North Carolina State University</t>
        </is>
      </c>
      <c r="B300" s="4" t="inlineStr">
        <is>
          <t>PhD funding</t>
        </is>
      </c>
      <c r="C300" s="4" t="inlineStr">
        <is>
          <t>Typical</t>
        </is>
      </c>
      <c r="D300" s="4" t="inlineStr">
        <is>
          <t>Admits usually offered support; over 95% of students on TA/RA/fellowship (~$30,000/yr in Fall 2026)</t>
        </is>
      </c>
      <c r="E300" s="4" t="inlineStr">
        <is>
          <t>If a student is offered admission, our department usually offers financial support to the student. | Most students (&gt;95%) in the PY graduate program are supported by a teaching assistantship (TA), research assistantship (RA) or fellowship.</t>
        </is>
      </c>
      <c r="F300" s="4" t="inlineStr">
        <is>
          <t>https://physics.sciences.ncsu.edu/graduate/apply/graduate_application_faq/</t>
        </is>
      </c>
      <c r="G300" s="4" t="inlineStr"/>
      <c r="H300" s="4" t="inlineStr">
        <is>
          <t>2026-10-21</t>
        </is>
      </c>
    </row>
    <row r="301">
      <c r="A301" s="4" t="inlineStr">
        <is>
          <t>North Carolina State University</t>
        </is>
      </c>
      <c r="B301" s="4" t="inlineStr">
        <is>
          <t>Entry route</t>
        </is>
      </c>
      <c r="C301" s="4" t="inlineStr">
        <is>
          <t>Direct from bachelor's</t>
        </is>
      </c>
      <c r="D301" s="4" t="inlineStr">
        <is>
          <t>Applicants with a bachelor's from an accredited institution by Fall 2027 welcome; exceptions for some three-year international degrees</t>
        </is>
      </c>
      <c r="E301" s="4" t="inlineStr">
        <is>
          <t>We welcome applications from students who will have earned bachelor’s degrees at accredited institutions by Fall 2027.  ||  Exceptions to standard accreditation may be granted for applicants with international degrees, including applicants with three-year degrees from institutions in Europe participating in the Bologna Process. (https://physics.sciences.ncsu.edu/graduate/apply/graduate_application_faq/)</t>
        </is>
      </c>
      <c r="F301" s="4" t="inlineStr">
        <is>
          <t>https://physics.sciences.ncsu.edu/graduate/apply/</t>
        </is>
      </c>
      <c r="G301" s="4" t="inlineStr"/>
      <c r="H301" s="4" t="inlineStr">
        <is>
          <t>2026-10-21</t>
        </is>
      </c>
    </row>
    <row r="302">
      <c r="A302" s="4" t="inlineStr">
        <is>
          <t>Penn State University (University Park)</t>
        </is>
      </c>
      <c r="B302" s="4" t="inlineStr">
        <is>
          <t>Deadline (2027 entry)</t>
        </is>
      </c>
      <c r="C302" s="4" t="inlineStr">
        <is>
          <t>2027-01-15</t>
        </is>
      </c>
      <c r="D302" s="4" t="inlineStr">
        <is>
          <t>January 15 (applications for Fall 2027 open October 1, 2026). Year inferred.</t>
        </is>
      </c>
      <c r="E302" s="4" t="inlineStr">
        <is>
          <t>The application is due on Jan 15 for the incoming class of the year. | We will begin accepting applications for the Fall 2027 academic year starting on October 1, 2026.</t>
        </is>
      </c>
      <c r="F302" s="4" t="inlineStr">
        <is>
          <t>https://science.psu.edu/physics/graduate/applying</t>
        </is>
      </c>
      <c r="G302" s="4" t="inlineStr">
        <is>
          <t>year inferred</t>
        </is>
      </c>
      <c r="H302" s="4" t="inlineStr">
        <is>
          <t>2026-10-21</t>
        </is>
      </c>
    </row>
    <row r="303">
      <c r="A303" s="4" t="inlineStr">
        <is>
          <t>Penn State University (University Park)</t>
        </is>
      </c>
      <c r="B303" s="4" t="inlineStr">
        <is>
          <t>Application fee</t>
        </is>
      </c>
      <c r="C303" s="4" t="inlineStr">
        <is>
          <t>0 (waived)</t>
        </is>
      </c>
      <c r="D303" s="4" t="inlineStr">
        <is>
          <t>Fee waived for ALL applicants this year: enter code PHYS2027</t>
        </is>
      </c>
      <c r="E303" s="4" t="inlineStr">
        <is>
          <t>To ensure access to all qualified applicants, the Physics PhD program is waiving the fee for ALL applicants this year. There is no cost to apply. Please enter the waiver code PHYS2027 in your application.</t>
        </is>
      </c>
      <c r="F303" s="4" t="inlineStr">
        <is>
          <t>https://science.psu.edu/physics/graduate/applying</t>
        </is>
      </c>
      <c r="G303" s="4" t="inlineStr"/>
      <c r="H303" s="4" t="inlineStr">
        <is>
          <t>2026-10-21</t>
        </is>
      </c>
    </row>
    <row r="304">
      <c r="A304" s="4" t="inlineStr">
        <is>
          <t>Penn State University (University Park)</t>
        </is>
      </c>
      <c r="B304" s="4" t="inlineStr">
        <is>
          <t>Intl fee waiver</t>
        </is>
      </c>
      <c r="C304" s="4" t="inlineStr">
        <is>
          <t>Available</t>
        </is>
      </c>
      <c r="D304" s="4" t="inlineStr">
        <is>
          <t>Automatic for everyone this cycle via code PHYS2027 (international included)</t>
        </is>
      </c>
      <c r="E304" s="4" t="inlineStr">
        <is>
          <t>the Physics PhD program is waiving the fee for ALL applicants this year.</t>
        </is>
      </c>
      <c r="F304" s="4" t="inlineStr">
        <is>
          <t>https://science.psu.edu/physics/graduate/applying</t>
        </is>
      </c>
      <c r="G304" s="4" t="inlineStr"/>
      <c r="H304" s="4" t="inlineStr">
        <is>
          <t>2026-10-21</t>
        </is>
      </c>
    </row>
    <row r="305">
      <c r="A305" s="4" t="inlineStr">
        <is>
          <t>Penn State University (University Park)</t>
        </is>
      </c>
      <c r="B305" s="4" t="inlineStr">
        <is>
          <t>GRE General</t>
        </is>
      </c>
      <c r="C305" s="4" t="inlineStr">
        <is>
          <t>Not stated</t>
        </is>
      </c>
      <c r="D305" s="4" t="inlineStr">
        <is>
          <t>No GRE requirement listed on the current page</t>
        </is>
      </c>
      <c r="E305" s="4" t="inlineStr">
        <is>
          <t>(no statement found)</t>
        </is>
      </c>
      <c r="F305" s="4" t="inlineStr">
        <is>
          <t>https://science.psu.edu/physics/graduate/applying</t>
        </is>
      </c>
      <c r="G305" s="4" t="inlineStr"/>
      <c r="H305" s="4" t="inlineStr">
        <is>
          <t>2026-10-21</t>
        </is>
      </c>
    </row>
    <row r="306">
      <c r="A306" s="4" t="inlineStr">
        <is>
          <t>Penn State University (University Park)</t>
        </is>
      </c>
      <c r="B306" s="4" t="inlineStr">
        <is>
          <t>Physics GRE</t>
        </is>
      </c>
      <c r="C306" s="4" t="inlineStr">
        <is>
          <t>Not stated</t>
        </is>
      </c>
      <c r="D306" s="4" t="inlineStr">
        <is>
          <t>No GRE requirement listed on the current page</t>
        </is>
      </c>
      <c r="E306" s="4" t="inlineStr">
        <is>
          <t>(no statement found)</t>
        </is>
      </c>
      <c r="F306" s="4" t="inlineStr">
        <is>
          <t>https://science.psu.edu/physics/graduate/applying</t>
        </is>
      </c>
      <c r="G306" s="4" t="inlineStr"/>
      <c r="H306" s="4" t="inlineStr">
        <is>
          <t>2026-10-21</t>
        </is>
      </c>
    </row>
    <row r="307">
      <c r="A307" s="4" t="inlineStr">
        <is>
          <t>Penn State University (University Park)</t>
        </is>
      </c>
      <c r="B307" s="4" t="inlineStr">
        <is>
          <t>TOEFL minimum</t>
        </is>
      </c>
      <c r="C307" s="4" t="inlineStr">
        <is>
          <t>Not stated</t>
        </is>
      </c>
      <c r="D307" s="4" t="inlineStr">
        <is>
          <t>TOEFL/IELTS required from non-English-speaking countries (TOEFL code 2660); minimum not shown</t>
        </is>
      </c>
      <c r="E307" s="4" t="inlineStr">
        <is>
          <t>To submit your scores, please use the institution code 2660 for the TOEFL and search Penn State Graduate School for IELTS.</t>
        </is>
      </c>
      <c r="F307" s="4" t="inlineStr">
        <is>
          <t>https://science.psu.edu/physics/graduate/applying</t>
        </is>
      </c>
      <c r="G307" s="4" t="inlineStr"/>
      <c r="H307" s="4" t="inlineStr">
        <is>
          <t>2026-10-21</t>
        </is>
      </c>
    </row>
    <row r="308">
      <c r="A308" s="4" t="inlineStr">
        <is>
          <t>Penn State University (University Park)</t>
        </is>
      </c>
      <c r="B308" s="4" t="inlineStr">
        <is>
          <t>English-test waiver (English-medium degree)</t>
        </is>
      </c>
      <c r="C308" s="4" t="inlineStr">
        <is>
          <t>Not stated</t>
        </is>
      </c>
      <c r="D308" s="4" t="inlineStr">
        <is>
          <t>Rule is country-based ('non-English speaking countries'); exemption list not shown on the page checked</t>
        </is>
      </c>
      <c r="E308" s="4" t="inlineStr">
        <is>
          <t>International applicants from non-English speaking countries are required to submit results of the Test of English as a Foreign Language (TOEFL), or the International English Language Testing System (IELTS) electronically to Penn State.</t>
        </is>
      </c>
      <c r="F308" s="4" t="inlineStr">
        <is>
          <t>https://science.psu.edu/physics/graduate/applying</t>
        </is>
      </c>
      <c r="G308" s="4" t="inlineStr"/>
      <c r="H308" s="4" t="inlineStr">
        <is>
          <t>2026-10-21</t>
        </is>
      </c>
    </row>
    <row r="309">
      <c r="A309" s="4" t="inlineStr">
        <is>
          <t>Penn State University (University Park)</t>
        </is>
      </c>
      <c r="B309" s="4" t="inlineStr">
        <is>
          <t>Supervisor before admission</t>
        </is>
      </c>
      <c r="C309" s="4" t="inlineStr">
        <is>
          <t>Not stated</t>
        </is>
      </c>
      <c r="D309" s="4" t="inlineStr">
        <is>
          <t>No pre-application supervisor requirement mentioned</t>
        </is>
      </c>
      <c r="E309" s="4" t="inlineStr">
        <is>
          <t>(no statement found)</t>
        </is>
      </c>
      <c r="F309" s="4" t="inlineStr">
        <is>
          <t>https://science.psu.edu/physics/graduate/applying</t>
        </is>
      </c>
      <c r="G309" s="4" t="inlineStr"/>
      <c r="H309" s="4" t="inlineStr">
        <is>
          <t>2026-10-21</t>
        </is>
      </c>
    </row>
    <row r="310">
      <c r="A310" s="4" t="inlineStr">
        <is>
          <t>Penn State University (University Park)</t>
        </is>
      </c>
      <c r="B310" s="4" t="inlineStr">
        <is>
          <t>PhD funding</t>
        </is>
      </c>
      <c r="C310" s="4" t="inlineStr">
        <is>
          <t>Not stated</t>
        </is>
      </c>
      <c r="D310" s="4" t="inlineStr">
        <is>
          <t>Not stated on the page checked</t>
        </is>
      </c>
      <c r="E310" s="4" t="inlineStr">
        <is>
          <t>(no statement found)</t>
        </is>
      </c>
      <c r="F310" s="4" t="inlineStr">
        <is>
          <t>https://science.psu.edu/physics/graduate/applying</t>
        </is>
      </c>
      <c r="G310" s="4" t="inlineStr"/>
      <c r="H310" s="4" t="inlineStr">
        <is>
          <t>2026-10-21</t>
        </is>
      </c>
    </row>
    <row r="311">
      <c r="A311" s="4" t="inlineStr">
        <is>
          <t>Penn State University (University Park)</t>
        </is>
      </c>
      <c r="B311" s="4" t="inlineStr">
        <is>
          <t>Entry route</t>
        </is>
      </c>
      <c r="C311" s="4" t="inlineStr">
        <is>
          <t>Not stated</t>
        </is>
      </c>
      <c r="D311" s="4" t="inlineStr">
        <is>
          <t>Not stated on the page checked</t>
        </is>
      </c>
      <c r="E311" s="4" t="inlineStr">
        <is>
          <t>(no statement found)</t>
        </is>
      </c>
      <c r="F311" s="4" t="inlineStr">
        <is>
          <t>https://science.psu.edu/physics/graduate/applying</t>
        </is>
      </c>
      <c r="G311" s="4" t="inlineStr"/>
      <c r="H311" s="4" t="inlineStr">
        <is>
          <t>2026-10-21</t>
        </is>
      </c>
    </row>
    <row r="312">
      <c r="A312" s="4" t="inlineStr">
        <is>
          <t>Purdue University (West Lafayette)</t>
        </is>
      </c>
      <c r="B312" s="4" t="inlineStr">
        <is>
          <t>Deadline (2027 entry)</t>
        </is>
      </c>
      <c r="C312" s="4" t="inlineStr">
        <is>
          <t>2026-12-15</t>
        </is>
      </c>
      <c r="D312" s="4" t="inlineStr">
        <is>
          <t>December 15 for fall, including TOEFL/IELTS scores. Year inferred for Fall 2027.</t>
        </is>
      </c>
      <c r="E312" s="4" t="inlineStr">
        <is>
          <t>The deadline for all application materials for fall admission is December 15th. This includes all supporting materials such as the scores of TOEFL and IELTS.</t>
        </is>
      </c>
      <c r="F312" s="4" t="inlineStr">
        <is>
          <t>https://www.physics.purdue.edu/academic-programs/future_students/admissions.html</t>
        </is>
      </c>
      <c r="G312" s="4" t="inlineStr">
        <is>
          <t>year inferred</t>
        </is>
      </c>
      <c r="H312" s="4" t="inlineStr">
        <is>
          <t>2026-10-21</t>
        </is>
      </c>
    </row>
    <row r="313">
      <c r="A313" s="4" t="inlineStr">
        <is>
          <t>Purdue University (West Lafayette)</t>
        </is>
      </c>
      <c r="B313" s="4" t="inlineStr">
        <is>
          <t>Application fee</t>
        </is>
      </c>
      <c r="C313" s="4" t="inlineStr">
        <is>
          <t>75 USD</t>
        </is>
      </c>
      <c r="D313" s="4" t="inlineStr">
        <is>
          <t>USD 75 international (USD 60 domestic); covers up to two program selections</t>
        </is>
      </c>
      <c r="E313" s="4" t="inlineStr">
        <is>
          <t>The graduate application fee is $60 (U.S. dollars) for domestic applicants and $75 (U.S. dollars) for international applicants.</t>
        </is>
      </c>
      <c r="F313" s="4" t="inlineStr">
        <is>
          <t>https://www.purdue.edu/academics/ogsps/admissions/how-to-apply/</t>
        </is>
      </c>
      <c r="G313" s="4" t="inlineStr"/>
      <c r="H313" s="4" t="inlineStr">
        <is>
          <t>2026-10-21</t>
        </is>
      </c>
    </row>
    <row r="314">
      <c r="A314" s="4" t="inlineStr">
        <is>
          <t>Purdue University (West Lafayette)</t>
        </is>
      </c>
      <c r="B314" s="4" t="inlineStr">
        <is>
          <t>Intl fee waiver</t>
        </is>
      </c>
      <c r="C314" s="4" t="inlineStr">
        <is>
          <t>Limited</t>
        </is>
      </c>
      <c r="D314" s="4" t="inlineStr">
        <is>
          <t>Fee-waiver applications exist through Big Ten and Purdue; check eligibility for international applicants</t>
        </is>
      </c>
      <c r="E314" s="4" t="inlineStr">
        <is>
          <t>An application fee waiver may apply. Both Big Ten and Purdue offer applications for fee waivers.</t>
        </is>
      </c>
      <c r="F314" s="4" t="inlineStr">
        <is>
          <t>https://www.physics.purdue.edu/academic-programs/future_students/admissions.html</t>
        </is>
      </c>
      <c r="G314" s="4" t="inlineStr"/>
      <c r="H314" s="4" t="inlineStr">
        <is>
          <t>2026-10-21</t>
        </is>
      </c>
    </row>
    <row r="315">
      <c r="A315" s="4" t="inlineStr">
        <is>
          <t>Purdue University (West Lafayette)</t>
        </is>
      </c>
      <c r="B315" s="4" t="inlineStr">
        <is>
          <t>GRE General</t>
        </is>
      </c>
      <c r="C315" s="4" t="inlineStr">
        <is>
          <t>Optional</t>
        </is>
      </c>
      <c r="D315" s="4" t="inlineStr">
        <is>
          <t>Not required, optional</t>
        </is>
      </c>
      <c r="E315" s="4" t="inlineStr">
        <is>
          <t>PHYS GRE and General GRE are not required but are optional.</t>
        </is>
      </c>
      <c r="F315" s="4" t="inlineStr">
        <is>
          <t>https://www.physics.purdue.edu/academic-programs/future_students/admissions.html</t>
        </is>
      </c>
      <c r="G315" s="4" t="inlineStr"/>
      <c r="H315" s="4" t="inlineStr">
        <is>
          <t>2026-10-21</t>
        </is>
      </c>
    </row>
    <row r="316">
      <c r="A316" s="4" t="inlineStr">
        <is>
          <t>Purdue University (West Lafayette)</t>
        </is>
      </c>
      <c r="B316" s="4" t="inlineStr">
        <is>
          <t>Physics GRE</t>
        </is>
      </c>
      <c r="C316" s="4" t="inlineStr">
        <is>
          <t>Optional</t>
        </is>
      </c>
      <c r="D316" s="4" t="inlineStr">
        <is>
          <t>Not required, optional</t>
        </is>
      </c>
      <c r="E316" s="4" t="inlineStr">
        <is>
          <t>PHYS GRE and General GRE are not required but are optional.</t>
        </is>
      </c>
      <c r="F316" s="4" t="inlineStr">
        <is>
          <t>https://www.physics.purdue.edu/academic-programs/future_students/admissions.html</t>
        </is>
      </c>
      <c r="G316" s="4" t="inlineStr"/>
      <c r="H316" s="4" t="inlineStr">
        <is>
          <t>2026-10-21</t>
        </is>
      </c>
    </row>
    <row r="317">
      <c r="A317" s="4" t="inlineStr">
        <is>
          <t>Purdue University (West Lafayette)</t>
        </is>
      </c>
      <c r="B317" s="4" t="inlineStr">
        <is>
          <t>TOEFL minimum</t>
        </is>
      </c>
      <c r="C317" s="4" t="inlineStr">
        <is>
          <t>Not stated</t>
        </is>
      </c>
      <c r="D317" s="4" t="inlineStr">
        <is>
          <t>TOEFL, IELTS and Duolingo accepted; minimum not shown on the pages checked</t>
        </is>
      </c>
      <c r="E317" s="4" t="inlineStr">
        <is>
          <t>The TOEFL (Test of English as a Foreign Language), IELTS (International English Language Testing System), and Duolingo English test evaluate a person’s level of English proficiency</t>
        </is>
      </c>
      <c r="F317" s="4" t="inlineStr">
        <is>
          <t>https://www.purdue.edu/academics/ogsps/admissions/how-to-apply/</t>
        </is>
      </c>
      <c r="G317" s="4" t="inlineStr"/>
      <c r="H317" s="4" t="inlineStr">
        <is>
          <t>2026-10-21</t>
        </is>
      </c>
    </row>
    <row r="318">
      <c r="A318" s="4" t="inlineStr">
        <is>
          <t>Purdue University (West Lafayette)</t>
        </is>
      </c>
      <c r="B318" s="4" t="inlineStr">
        <is>
          <t>English-test waiver (English-medium degree)</t>
        </is>
      </c>
      <c r="C318" s="4" t="inlineStr">
        <is>
          <t>Not stated</t>
        </is>
      </c>
      <c r="D318" s="4" t="inlineStr">
        <is>
          <t>Exemption rules not shown on the pages checked</t>
        </is>
      </c>
      <c r="E318" s="4" t="inlineStr">
        <is>
          <t>(no statement found)</t>
        </is>
      </c>
      <c r="F318" s="4" t="inlineStr">
        <is>
          <t>https://www.purdue.edu/academics/ogsps/admissions/how-to-apply/</t>
        </is>
      </c>
      <c r="G318" s="4" t="inlineStr"/>
      <c r="H318" s="4" t="inlineStr">
        <is>
          <t>2026-10-21</t>
        </is>
      </c>
    </row>
    <row r="319">
      <c r="A319" s="4" t="inlineStr">
        <is>
          <t>Purdue University (West Lafayette)</t>
        </is>
      </c>
      <c r="B319" s="4" t="inlineStr">
        <is>
          <t>Supervisor before admission</t>
        </is>
      </c>
      <c r="C319" s="4" t="inlineStr">
        <is>
          <t>Not stated</t>
        </is>
      </c>
      <c r="D319" s="4" t="inlineStr">
        <is>
          <t>No pre-application supervisor requirement mentioned</t>
        </is>
      </c>
      <c r="E319" s="4" t="inlineStr">
        <is>
          <t>(no statement found)</t>
        </is>
      </c>
      <c r="F319" s="4" t="inlineStr">
        <is>
          <t>https://www.physics.purdue.edu/academic-programs/future_students/admissions.html</t>
        </is>
      </c>
      <c r="G319" s="4" t="inlineStr"/>
      <c r="H319" s="4" t="inlineStr">
        <is>
          <t>2026-10-21</t>
        </is>
      </c>
    </row>
    <row r="320">
      <c r="A320" s="4" t="inlineStr">
        <is>
          <t>Purdue University (West Lafayette)</t>
        </is>
      </c>
      <c r="B320" s="4" t="inlineStr">
        <is>
          <t>PhD funding</t>
        </is>
      </c>
      <c r="C320" s="4" t="inlineStr">
        <is>
          <t>Typical</t>
        </is>
      </c>
      <c r="D320" s="4" t="inlineStr">
        <is>
          <t>Most common support is a half-time (20 h/week) teaching assistantship; tick the box on the main application</t>
        </is>
      </c>
      <c r="E320" s="4" t="inlineStr">
        <is>
          <t>The most common form of financial assistance offered by the Department is the half-time (20 hours per week) graduate teaching assistantship.</t>
        </is>
      </c>
      <c r="F320" s="4" t="inlineStr">
        <is>
          <t>https://www.physics.purdue.edu/academic-programs/future_students/admissions.html</t>
        </is>
      </c>
      <c r="G320" s="4" t="inlineStr"/>
      <c r="H320" s="4" t="inlineStr">
        <is>
          <t>2026-10-21</t>
        </is>
      </c>
    </row>
    <row r="321">
      <c r="A321" s="4" t="inlineStr">
        <is>
          <t>Purdue University (West Lafayette)</t>
        </is>
      </c>
      <c r="B321" s="4" t="inlineStr">
        <is>
          <t>Entry route</t>
        </is>
      </c>
      <c r="C321" s="4" t="inlineStr">
        <is>
          <t>Not stated</t>
        </is>
      </c>
      <c r="D321" s="4" t="inlineStr">
        <is>
          <t>Not stated on the pages checked</t>
        </is>
      </c>
      <c r="E321" s="4" t="inlineStr">
        <is>
          <t>(no statement found)</t>
        </is>
      </c>
      <c r="F321" s="4" t="inlineStr">
        <is>
          <t>https://www.physics.purdue.edu/academic-programs/future_students/admissions.html</t>
        </is>
      </c>
      <c r="G321" s="4" t="inlineStr"/>
      <c r="H321" s="4" t="inlineStr">
        <is>
          <t>2026-10-21</t>
        </is>
      </c>
    </row>
    <row r="322">
      <c r="A322" s="4" t="inlineStr">
        <is>
          <t>Queen's University</t>
        </is>
      </c>
      <c r="B322" s="4" t="inlineStr">
        <is>
          <t>Deadline (2027 entry)</t>
        </is>
      </c>
      <c r="C322" s="4" t="inlineStr">
        <is>
          <t>2027-01-07</t>
        </is>
      </c>
      <c r="D322" s="4" t="inlineStr">
        <is>
          <t>January 7 for full consideration (September start); rolling review so apply early. Year inferred.</t>
        </is>
      </c>
      <c r="E322" s="4" t="inlineStr">
        <is>
          <t>January 7th Applications received by this day will receive full consideration for admission to the MSc/MASc/PhD program in the following academic year (September start).</t>
        </is>
      </c>
      <c r="F322" s="4" t="inlineStr">
        <is>
          <t>https://www.queensu.ca/physics/grad-studies/applicants</t>
        </is>
      </c>
      <c r="G322" s="4" t="inlineStr">
        <is>
          <t>year inferred; rolling</t>
        </is>
      </c>
      <c r="H322" s="4" t="inlineStr">
        <is>
          <t>2026-10-21</t>
        </is>
      </c>
    </row>
    <row r="323">
      <c r="A323" s="4" t="inlineStr">
        <is>
          <t>Queen's University</t>
        </is>
      </c>
      <c r="B323" s="4" t="inlineStr">
        <is>
          <t>Application fee</t>
        </is>
      </c>
      <c r="C323" s="4" t="inlineStr">
        <is>
          <t>Not stated</t>
        </is>
      </c>
      <c r="D323" s="4" t="inlineStr">
        <is>
          <t>Amount not shown on the pages checked</t>
        </is>
      </c>
      <c r="E323" s="4" t="inlineStr">
        <is>
          <t>(no statement found)</t>
        </is>
      </c>
      <c r="F323" s="4" t="inlineStr">
        <is>
          <t>https://www.queensu.ca/physics/grad-studies/applicants</t>
        </is>
      </c>
      <c r="G323" s="4" t="inlineStr"/>
      <c r="H323" s="4" t="inlineStr">
        <is>
          <t>2026-10-21</t>
        </is>
      </c>
    </row>
    <row r="324">
      <c r="A324" s="4" t="inlineStr">
        <is>
          <t>Queen's University</t>
        </is>
      </c>
      <c r="B324" s="4" t="inlineStr">
        <is>
          <t>Intl fee waiver</t>
        </is>
      </c>
      <c r="C324" s="4" t="inlineStr">
        <is>
          <t>Not stated</t>
        </is>
      </c>
      <c r="D324" s="4" t="inlineStr">
        <is>
          <t>Not stated on the pages checked</t>
        </is>
      </c>
      <c r="E324" s="4" t="inlineStr">
        <is>
          <t>(no statement found)</t>
        </is>
      </c>
      <c r="F324" s="4" t="inlineStr">
        <is>
          <t>https://www.queensu.ca/physics/grad-studies/applicants</t>
        </is>
      </c>
      <c r="G324" s="4" t="inlineStr"/>
      <c r="H324" s="4" t="inlineStr">
        <is>
          <t>2026-10-21</t>
        </is>
      </c>
    </row>
    <row r="325">
      <c r="A325" s="4" t="inlineStr">
        <is>
          <t>Queen's University</t>
        </is>
      </c>
      <c r="B325" s="4" t="inlineStr">
        <is>
          <t>GRE General</t>
        </is>
      </c>
      <c r="C325" s="4" t="inlineStr">
        <is>
          <t>Optional</t>
        </is>
      </c>
      <c r="D325" s="4" t="inlineStr">
        <is>
          <t>Not required; good scores may strengthen an application</t>
        </is>
      </c>
      <c r="E325" s="4" t="inlineStr">
        <is>
          <t>Do I need to take the GRE general and subject exams? We do not require you to take these, however a good performance in the exams may strengthen your application.</t>
        </is>
      </c>
      <c r="F325" s="4" t="inlineStr">
        <is>
          <t>https://www.queensu.ca/physics/grad-studies/faq</t>
        </is>
      </c>
      <c r="G325" s="4" t="inlineStr"/>
      <c r="H325" s="4" t="inlineStr">
        <is>
          <t>2026-10-21</t>
        </is>
      </c>
    </row>
    <row r="326">
      <c r="A326" s="4" t="inlineStr">
        <is>
          <t>Queen's University</t>
        </is>
      </c>
      <c r="B326" s="4" t="inlineStr">
        <is>
          <t>Physics GRE</t>
        </is>
      </c>
      <c r="C326" s="4" t="inlineStr">
        <is>
          <t>Optional</t>
        </is>
      </c>
      <c r="D326" s="4" t="inlineStr">
        <is>
          <t>Not required; good scores may help</t>
        </is>
      </c>
      <c r="E326" s="4" t="inlineStr">
        <is>
          <t>We do not require you to take these, however a good performance in the exams may strengthen your application.</t>
        </is>
      </c>
      <c r="F326" s="4" t="inlineStr">
        <is>
          <t>https://www.queensu.ca/physics/grad-studies/faq</t>
        </is>
      </c>
      <c r="G326" s="4" t="inlineStr"/>
      <c r="H326" s="4" t="inlineStr">
        <is>
          <t>2026-10-21</t>
        </is>
      </c>
    </row>
    <row r="327">
      <c r="A327" s="4" t="inlineStr">
        <is>
          <t>Queen's University</t>
        </is>
      </c>
      <c r="B327" s="4" t="inlineStr">
        <is>
          <t>TOEFL minimum</t>
        </is>
      </c>
      <c r="C327" s="4" t="inlineStr">
        <is>
          <t>Not stated</t>
        </is>
      </c>
      <c r="D327" s="4" t="inlineStr">
        <is>
          <t>ELP test required for non-native speakers; minimum not shown on the pages checked</t>
        </is>
      </c>
      <c r="E327" s="4" t="inlineStr">
        <is>
          <t>Those applicants whose native languages do not include English will need to earn satisfactory standing in an English Language Proficiency Test</t>
        </is>
      </c>
      <c r="F327" s="4" t="inlineStr">
        <is>
          <t>https://www.queensu.ca/physics/grad-studies/admission-requirements</t>
        </is>
      </c>
      <c r="G327" s="4" t="inlineStr"/>
      <c r="H327" s="4" t="inlineStr">
        <is>
          <t>2026-10-21</t>
        </is>
      </c>
    </row>
    <row r="328">
      <c r="A328" s="4" t="inlineStr">
        <is>
          <t>Queen's University</t>
        </is>
      </c>
      <c r="B328" s="4" t="inlineStr">
        <is>
          <t>English-test waiver (English-medium degree)</t>
        </is>
      </c>
      <c r="C328" s="4" t="inlineStr">
        <is>
          <t>Conditional</t>
        </is>
      </c>
      <c r="D328" s="4" t="inlineStr">
        <is>
          <t>You may REQUEST an exemption if, in the 12 months before applying, you studied 1+ full year at a post-secondary institution where English is the official language of instruction</t>
        </is>
      </c>
      <c r="E328" s="4" t="inlineStr">
        <is>
          <t>Any applicant whose first language is not English, but who, within the 12 month period prior to the month of application, has studied for at least one complete year at a post-secondary institution where English is the official language of instruction, may submit with their application a request to be exempted</t>
        </is>
      </c>
      <c r="F328" s="4" t="inlineStr">
        <is>
          <t>https://www.queensu.ca/physics/grad-studies/admission-requirements</t>
        </is>
      </c>
      <c r="G328" s="4" t="inlineStr"/>
      <c r="H328" s="4" t="inlineStr">
        <is>
          <t>2026-10-21</t>
        </is>
      </c>
    </row>
    <row r="329">
      <c r="A329" s="4" t="inlineStr">
        <is>
          <t>Queen's University</t>
        </is>
      </c>
      <c r="B329" s="4" t="inlineStr">
        <is>
          <t>Supervisor before admission</t>
        </is>
      </c>
      <c r="C329" s="4" t="inlineStr">
        <is>
          <t>Recommended</t>
        </is>
      </c>
      <c r="D329" s="4" t="inlineStr">
        <is>
          <t>A complete application needs a research proposal; work with a potential supervisor early</t>
        </is>
      </c>
      <c r="E329" s="4" t="inlineStr">
        <is>
          <t>A complete application requires reference letters and a research proposal, so working with your potential supervisor and an early start is recommended.</t>
        </is>
      </c>
      <c r="F329" s="4" t="inlineStr">
        <is>
          <t>https://www.queensu.ca/physics/grad-studies/applicants</t>
        </is>
      </c>
      <c r="G329" s="4" t="inlineStr"/>
      <c r="H329" s="4" t="inlineStr">
        <is>
          <t>2026-10-21</t>
        </is>
      </c>
    </row>
    <row r="330">
      <c r="A330" s="4" t="inlineStr">
        <is>
          <t>Queen's University</t>
        </is>
      </c>
      <c r="B330" s="4" t="inlineStr">
        <is>
          <t>PhD funding</t>
        </is>
      </c>
      <c r="C330" s="4" t="inlineStr">
        <is>
          <t>Guaranteed</t>
        </is>
      </c>
      <c r="D330" s="4" t="inlineStr">
        <is>
          <t>Minimum stipend guaranteed; PhD for four years (TA ~10 h/week in fall/winter contributes)</t>
        </is>
      </c>
      <c r="E330" s="4" t="inlineStr">
        <is>
          <t>If you are accepted into Graduate studies in our department then we guarantee at least the minimum stipends found on the Funding sections under the MSc, MASc and PhD degree overview pages.</t>
        </is>
      </c>
      <c r="F330" s="4" t="inlineStr">
        <is>
          <t>https://www.queensu.ca/physics/grad-studies/faq</t>
        </is>
      </c>
      <c r="G330" s="4" t="inlineStr"/>
      <c r="H330" s="4" t="inlineStr">
        <is>
          <t>2026-10-21</t>
        </is>
      </c>
    </row>
    <row r="331">
      <c r="A331" s="4" t="inlineStr">
        <is>
          <t>Queen's University</t>
        </is>
      </c>
      <c r="B331" s="4" t="inlineStr">
        <is>
          <t>Entry route</t>
        </is>
      </c>
      <c r="C331" s="4" t="inlineStr">
        <is>
          <t>Master's usually required</t>
        </is>
      </c>
      <c r="D331" s="4" t="inlineStr">
        <is>
          <t>PhD normally needs an MSc/MASc; exceptional master's students may move up without finishing</t>
        </is>
      </c>
      <c r="E331" s="4" t="inlineStr">
        <is>
          <t>The minimum qualification for admission to the doctoral program is a Master's Degree in Science or Applied Science.</t>
        </is>
      </c>
      <c r="F331" s="4" t="inlineStr">
        <is>
          <t>https://www.queensu.ca/physics/grad-studies/admission-requirements</t>
        </is>
      </c>
      <c r="G331" s="4" t="inlineStr"/>
      <c r="H331" s="4" t="inlineStr">
        <is>
          <t>2026-10-21</t>
        </is>
      </c>
    </row>
    <row r="332">
      <c r="A332" s="4" t="inlineStr">
        <is>
          <t>Rice University</t>
        </is>
      </c>
      <c r="B332" s="4" t="inlineStr">
        <is>
          <t>Deadline (2027 entry)</t>
        </is>
      </c>
      <c r="C332" s="4" t="inlineStr">
        <is>
          <t>2026-12-15</t>
        </is>
      </c>
      <c r="D332" s="4" t="inlineStr">
        <is>
          <t>December 15, 2026, 11:59 EST; late applications considered until April 1, 2027 (less competitive)</t>
        </is>
      </c>
      <c r="E332" s="4" t="inlineStr">
        <is>
          <t>Application Deadline: December 15, 2026, 11:59 EST</t>
        </is>
      </c>
      <c r="F332" s="4" t="inlineStr">
        <is>
          <t>https://physics.rice.edu/how-apply</t>
        </is>
      </c>
      <c r="G332" s="4" t="inlineStr"/>
      <c r="H332" s="4" t="inlineStr">
        <is>
          <t>2026-10-21</t>
        </is>
      </c>
    </row>
    <row r="333">
      <c r="A333" s="4" t="inlineStr">
        <is>
          <t>Rice University</t>
        </is>
      </c>
      <c r="B333" s="4" t="inlineStr">
        <is>
          <t>Application fee</t>
        </is>
      </c>
      <c r="C333" s="4" t="inlineStr">
        <is>
          <t>85 USD</t>
        </is>
      </c>
      <c r="D333" s="4" t="inlineStr">
        <is>
          <t>USD 85</t>
        </is>
      </c>
      <c r="E333" s="4" t="inlineStr">
        <is>
          <t>The application fee is $85.</t>
        </is>
      </c>
      <c r="F333" s="4" t="inlineStr">
        <is>
          <t>https://physics.rice.edu/how-apply</t>
        </is>
      </c>
      <c r="G333" s="4" t="inlineStr"/>
      <c r="H333" s="4" t="inlineStr">
        <is>
          <t>2026-10-21</t>
        </is>
      </c>
    </row>
    <row r="334">
      <c r="A334" s="4" t="inlineStr">
        <is>
          <t>Rice University</t>
        </is>
      </c>
      <c r="B334" s="4" t="inlineStr">
        <is>
          <t>Intl fee waiver</t>
        </is>
      </c>
      <c r="C334" s="4" t="inlineStr">
        <is>
          <t>Available</t>
        </is>
      </c>
      <c r="D334" s="4" t="inlineStr">
        <is>
          <t>Doctoral Fee Waiver Weeks open to students worldwide Oct 14-Nov 1, 2026 (or until waivers run out); completed application due Nov 27. Also waived for Texas/neighbouring-state students, GCURS speakers, Fulbright Scholars.</t>
        </is>
      </c>
      <c r="E334" s="4" t="inlineStr">
        <is>
          <t>This waiver will be available for students worldwide to request at the link here from Oct. 14 - Nov. 1, or until all available waivers have been issued. | A completed application must be submitted by Nov. 27 at 10:59 p.m.</t>
        </is>
      </c>
      <c r="F334" s="4" t="inlineStr">
        <is>
          <t>https://graduate.rice.edu/application-fee-waiver-weeks</t>
        </is>
      </c>
      <c r="G334" s="4" t="inlineStr">
        <is>
          <t>act by 2026-11-01</t>
        </is>
      </c>
      <c r="H334" s="4" t="inlineStr">
        <is>
          <t>2026-10-21</t>
        </is>
      </c>
    </row>
    <row r="335">
      <c r="A335" s="4" t="inlineStr">
        <is>
          <t>Rice University</t>
        </is>
      </c>
      <c r="B335" s="4" t="inlineStr">
        <is>
          <t>GRE General</t>
        </is>
      </c>
      <c r="C335" s="4" t="inlineStr">
        <is>
          <t>Not considered</t>
        </is>
      </c>
      <c r="D335" s="4" t="inlineStr">
        <is>
          <t>Department neither requires nor uses the GRE</t>
        </is>
      </c>
      <c r="E335" s="4" t="inlineStr">
        <is>
          <t>Our department neither requires nor makes use of the GRE subject test in physics or the general GRE exam.</t>
        </is>
      </c>
      <c r="F335" s="4" t="inlineStr">
        <is>
          <t>https://physics.rice.edu/how-apply</t>
        </is>
      </c>
      <c r="G335" s="4" t="inlineStr"/>
      <c r="H335" s="4" t="inlineStr">
        <is>
          <t>2026-10-21</t>
        </is>
      </c>
    </row>
    <row r="336">
      <c r="A336" s="4" t="inlineStr">
        <is>
          <t>Rice University</t>
        </is>
      </c>
      <c r="B336" s="4" t="inlineStr">
        <is>
          <t>Physics GRE</t>
        </is>
      </c>
      <c r="C336" s="4" t="inlineStr">
        <is>
          <t>Not considered</t>
        </is>
      </c>
      <c r="D336" s="4" t="inlineStr">
        <is>
          <t>Department neither requires nor uses the Physics GRE</t>
        </is>
      </c>
      <c r="E336" s="4" t="inlineStr">
        <is>
          <t>Our department neither requires nor makes use of the GRE subject test in physics or the general GRE exam.</t>
        </is>
      </c>
      <c r="F336" s="4" t="inlineStr">
        <is>
          <t>https://physics.rice.edu/how-apply</t>
        </is>
      </c>
      <c r="G336" s="4" t="inlineStr"/>
      <c r="H336" s="4" t="inlineStr">
        <is>
          <t>2026-10-21</t>
        </is>
      </c>
    </row>
    <row r="337">
      <c r="A337" s="4" t="inlineStr">
        <is>
          <t>Rice University</t>
        </is>
      </c>
      <c r="B337" s="4" t="inlineStr">
        <is>
          <t>TOEFL minimum</t>
        </is>
      </c>
      <c r="C337" s="4" t="inlineStr">
        <is>
          <t>90</t>
        </is>
      </c>
      <c r="D337" s="4" t="inlineStr">
        <is>
          <t>TOEFL 90 (before Jan 21, 2026) or 4.5 (new scale); institution code 6609, department code 76</t>
        </is>
      </c>
      <c r="E337" s="4" t="inlineStr">
        <is>
          <t>A minimum score of 90 is required for exams taken before January 21, 2026. The TOEFL IBT Home. A minimum score of 4.5 is</t>
        </is>
      </c>
      <c r="F337" s="4" t="inlineStr">
        <is>
          <t>https://physics.rice.edu/how-apply</t>
        </is>
      </c>
      <c r="G337" s="4" t="inlineStr"/>
      <c r="H337" s="4" t="inlineStr">
        <is>
          <t>2026-10-21</t>
        </is>
      </c>
    </row>
    <row r="338">
      <c r="A338" s="4" t="inlineStr">
        <is>
          <t>Rice University</t>
        </is>
      </c>
      <c r="B338" s="4" t="inlineStr">
        <is>
          <t>English-test waiver (English-medium degree)</t>
        </is>
      </c>
      <c r="C338" s="4" t="inlineStr">
        <is>
          <t>Not stated</t>
        </is>
      </c>
      <c r="D338" s="4" t="inlineStr">
        <is>
          <t>Exemption rules not shown on the department page checked</t>
        </is>
      </c>
      <c r="E338" s="4" t="inlineStr">
        <is>
          <t>(no statement found)</t>
        </is>
      </c>
      <c r="F338" s="4" t="inlineStr">
        <is>
          <t>https://physics.rice.edu/how-apply</t>
        </is>
      </c>
      <c r="G338" s="4" t="inlineStr"/>
      <c r="H338" s="4" t="inlineStr">
        <is>
          <t>2026-10-21</t>
        </is>
      </c>
    </row>
    <row r="339">
      <c r="A339" s="4" t="inlineStr">
        <is>
          <t>Rice University</t>
        </is>
      </c>
      <c r="B339" s="4" t="inlineStr">
        <is>
          <t>Supervisor before admission</t>
        </is>
      </c>
      <c r="C339" s="4" t="inlineStr">
        <is>
          <t>Not stated</t>
        </is>
      </c>
      <c r="D339" s="4" t="inlineStr">
        <is>
          <t>No pre-application supervisor requirement mentioned</t>
        </is>
      </c>
      <c r="E339" s="4" t="inlineStr">
        <is>
          <t>(no statement found)</t>
        </is>
      </c>
      <c r="F339" s="4" t="inlineStr">
        <is>
          <t>https://physics.rice.edu/how-apply</t>
        </is>
      </c>
      <c r="G339" s="4" t="inlineStr"/>
      <c r="H339" s="4" t="inlineStr">
        <is>
          <t>2026-10-21</t>
        </is>
      </c>
    </row>
    <row r="340">
      <c r="A340" s="4" t="inlineStr">
        <is>
          <t>Rice University</t>
        </is>
      </c>
      <c r="B340" s="4" t="inlineStr">
        <is>
          <t>PhD funding</t>
        </is>
      </c>
      <c r="C340" s="4" t="inlineStr">
        <is>
          <t>Not stated</t>
        </is>
      </c>
      <c r="D340" s="4" t="inlineStr">
        <is>
          <t>Not stated on the page checked</t>
        </is>
      </c>
      <c r="E340" s="4" t="inlineStr">
        <is>
          <t>(no statement found)</t>
        </is>
      </c>
      <c r="F340" s="4" t="inlineStr">
        <is>
          <t>https://physics.rice.edu/how-apply</t>
        </is>
      </c>
      <c r="G340" s="4" t="inlineStr"/>
      <c r="H340" s="4" t="inlineStr">
        <is>
          <t>2026-10-21</t>
        </is>
      </c>
    </row>
    <row r="341">
      <c r="A341" s="4" t="inlineStr">
        <is>
          <t>Rice University</t>
        </is>
      </c>
      <c r="B341" s="4" t="inlineStr">
        <is>
          <t>Entry route</t>
        </is>
      </c>
      <c r="C341" s="4" t="inlineStr">
        <is>
          <t>Not stated</t>
        </is>
      </c>
      <c r="D341" s="4" t="inlineStr">
        <is>
          <t>Not stated on the page checked</t>
        </is>
      </c>
      <c r="E341" s="4" t="inlineStr">
        <is>
          <t>(no statement found)</t>
        </is>
      </c>
      <c r="F341" s="4" t="inlineStr">
        <is>
          <t>https://physics.rice.edu/how-apply</t>
        </is>
      </c>
      <c r="G341" s="4" t="inlineStr"/>
      <c r="H341" s="4" t="inlineStr">
        <is>
          <t>2026-10-21</t>
        </is>
      </c>
    </row>
    <row r="342">
      <c r="A342" s="4" t="inlineStr">
        <is>
          <t>Rutgers University (New Brunswick)</t>
        </is>
      </c>
      <c r="B342" s="4" t="inlineStr">
        <is>
          <t>Deadline (2027 entry)</t>
        </is>
      </c>
      <c r="C342" s="4" t="inlineStr">
        <is>
          <t>2027-01-01</t>
        </is>
      </c>
      <c r="D342" s="4" t="inlineStr">
        <is>
          <t>Submit everything before January 1 for full financial-aid consideration (fall). Year inferred.</t>
        </is>
      </c>
      <c r="E342" s="4" t="inlineStr">
        <is>
          <t>In order to receive full consideration for financial aid, applicants should submit all materials (application, transcripts, and letters of recommendation) before January 1 for fall admission</t>
        </is>
      </c>
      <c r="F342" s="4" t="inlineStr">
        <is>
          <t>https://physics.rutgers.edu/academics/graduate-program/admissions</t>
        </is>
      </c>
      <c r="G342" s="4" t="inlineStr">
        <is>
          <t>year inferred</t>
        </is>
      </c>
      <c r="H342" s="4" t="inlineStr">
        <is>
          <t>2026-10-21</t>
        </is>
      </c>
    </row>
    <row r="343">
      <c r="A343" s="4" t="inlineStr">
        <is>
          <t>Rutgers University (New Brunswick)</t>
        </is>
      </c>
      <c r="B343" s="4" t="inlineStr">
        <is>
          <t>Application fee</t>
        </is>
      </c>
      <c r="C343" s="4" t="inlineStr">
        <is>
          <t>Not stated</t>
        </is>
      </c>
      <c r="D343" s="4" t="inlineStr">
        <is>
          <t>Amount not shown on the pages checked; fee deferrals allowed by SGS</t>
        </is>
      </c>
      <c r="E343" s="4" t="inlineStr">
        <is>
          <t>SGS also allows fee deferrals.</t>
        </is>
      </c>
      <c r="F343" s="4" t="inlineStr">
        <is>
          <t>https://physics.rutgers.edu/academics/graduate-program/graduate-program-faq</t>
        </is>
      </c>
      <c r="G343" s="4" t="inlineStr"/>
      <c r="H343" s="4" t="inlineStr">
        <is>
          <t>2026-10-21</t>
        </is>
      </c>
    </row>
    <row r="344">
      <c r="A344" s="4" t="inlineStr">
        <is>
          <t>Rutgers University (New Brunswick)</t>
        </is>
      </c>
      <c r="B344" s="4" t="inlineStr">
        <is>
          <t>Intl fee waiver</t>
        </is>
      </c>
      <c r="C344" s="4" t="inlineStr">
        <is>
          <t>Limited</t>
        </is>
      </c>
      <c r="D344" s="4" t="inlineStr">
        <is>
          <t>SGS auto-waives for certain groups; department can waive for a few applicants each year, usually used up months before the deadline - ask early</t>
        </is>
      </c>
      <c r="E344" s="4" t="inlineStr">
        <is>
          <t>The department has a small budget that typically allows us to waive fees for a few applicants each year. Normally, all of these funds are used a few months before the application deadline.</t>
        </is>
      </c>
      <c r="F344" s="4" t="inlineStr">
        <is>
          <t>https://physics.rutgers.edu/academics/graduate-program/graduate-program-faq</t>
        </is>
      </c>
      <c r="G344" s="4" t="inlineStr"/>
      <c r="H344" s="4" t="inlineStr">
        <is>
          <t>2026-10-21</t>
        </is>
      </c>
    </row>
    <row r="345">
      <c r="A345" s="4" t="inlineStr">
        <is>
          <t>Rutgers University (New Brunswick)</t>
        </is>
      </c>
      <c r="B345" s="4" t="inlineStr">
        <is>
          <t>GRE General</t>
        </is>
      </c>
      <c r="C345" s="4" t="inlineStr">
        <is>
          <t>Recommended</t>
        </is>
      </c>
      <c r="D345" s="4" t="inlineStr">
        <is>
          <t>Preferred for physics applicants (optional for astronomy)</t>
        </is>
      </c>
      <c r="E345" s="4" t="inlineStr">
        <is>
          <t>The Physics and General GREs are preferred for physics applicants.</t>
        </is>
      </c>
      <c r="F345" s="4" t="inlineStr">
        <is>
          <t>https://physics.rutgers.edu/academics/graduate-program/admissions</t>
        </is>
      </c>
      <c r="G345" s="4" t="inlineStr"/>
      <c r="H345" s="4" t="inlineStr">
        <is>
          <t>2026-10-21</t>
        </is>
      </c>
    </row>
    <row r="346">
      <c r="A346" s="4" t="inlineStr">
        <is>
          <t>Rutgers University (New Brunswick)</t>
        </is>
      </c>
      <c r="B346" s="4" t="inlineStr">
        <is>
          <t>Physics GRE</t>
        </is>
      </c>
      <c r="C346" s="4" t="inlineStr">
        <is>
          <t>Recommended</t>
        </is>
      </c>
      <c r="D346" s="4" t="inlineStr">
        <is>
          <t>Preferred for physics applicants (optional for astronomy); take the October test</t>
        </is>
      </c>
      <c r="E346" s="4" t="inlineStr">
        <is>
          <t>The Physics and General GREs are preferred for physics applicants.</t>
        </is>
      </c>
      <c r="F346" s="4" t="inlineStr">
        <is>
          <t>https://physics.rutgers.edu/academics/graduate-program/admissions</t>
        </is>
      </c>
      <c r="G346" s="4" t="inlineStr"/>
      <c r="H346" s="4" t="inlineStr">
        <is>
          <t>2026-10-21</t>
        </is>
      </c>
    </row>
    <row r="347">
      <c r="A347" s="4" t="inlineStr">
        <is>
          <t>Rutgers University (New Brunswick)</t>
        </is>
      </c>
      <c r="B347" s="4" t="inlineStr">
        <is>
          <t>TOEFL minimum</t>
        </is>
      </c>
      <c r="C347" s="4" t="inlineStr">
        <is>
          <t>Not stated</t>
        </is>
      </c>
      <c r="D347" s="4" t="inlineStr">
        <is>
          <t>Minimums on the SGS site (not checked)</t>
        </is>
      </c>
      <c r="E347" s="4" t="inlineStr">
        <is>
          <t>(no statement found)</t>
        </is>
      </c>
      <c r="F347" s="4" t="inlineStr">
        <is>
          <t>https://physics.rutgers.edu/academics/graduate-program/graduate-program-faq</t>
        </is>
      </c>
      <c r="G347" s="4" t="inlineStr"/>
      <c r="H347" s="4" t="inlineStr">
        <is>
          <t>2026-10-21</t>
        </is>
      </c>
    </row>
    <row r="348">
      <c r="A348" s="4" t="inlineStr">
        <is>
          <t>Rutgers University (New Brunswick)</t>
        </is>
      </c>
      <c r="B348" s="4" t="inlineStr">
        <is>
          <t>English-test waiver (English-medium degree)</t>
        </is>
      </c>
      <c r="C348" s="4" t="inlineStr">
        <is>
          <t>Yes</t>
        </is>
      </c>
      <c r="D348" s="4" t="inlineStr">
        <is>
          <t>Exempt with 3+ years of undergraduate study or a master's where the mode of instruction was English</t>
        </is>
      </c>
      <c r="E348" s="4" t="inlineStr">
        <is>
          <t>You are exempt from submitting TOEFL or IELTS scores if you are a Permanent Resident, US citizen, or an international applicant with a minimum of three years undergraduate studies or a masters degree with the mode of instruction being English.</t>
        </is>
      </c>
      <c r="F348" s="4" t="inlineStr">
        <is>
          <t>https://physics.rutgers.edu/academics/graduate-program/graduate-program-faq</t>
        </is>
      </c>
      <c r="G348" s="4" t="inlineStr"/>
      <c r="H348" s="4" t="inlineStr">
        <is>
          <t>2026-10-21</t>
        </is>
      </c>
    </row>
    <row r="349">
      <c r="A349" s="4" t="inlineStr">
        <is>
          <t>Rutgers University (New Brunswick)</t>
        </is>
      </c>
      <c r="B349" s="4" t="inlineStr">
        <is>
          <t>Supervisor before admission</t>
        </is>
      </c>
      <c r="C349" s="4" t="inlineStr">
        <is>
          <t>Not stated</t>
        </is>
      </c>
      <c r="D349" s="4" t="inlineStr">
        <is>
          <t>No pre-application supervisor requirement mentioned</t>
        </is>
      </c>
      <c r="E349" s="4" t="inlineStr">
        <is>
          <t>(no statement found)</t>
        </is>
      </c>
      <c r="F349" s="4" t="inlineStr">
        <is>
          <t>https://physics.rutgers.edu/academics/graduate-program/admissions</t>
        </is>
      </c>
      <c r="G349" s="4" t="inlineStr"/>
      <c r="H349" s="4" t="inlineStr">
        <is>
          <t>2026-10-21</t>
        </is>
      </c>
    </row>
    <row r="350">
      <c r="A350" s="4" t="inlineStr">
        <is>
          <t>Rutgers University (New Brunswick)</t>
        </is>
      </c>
      <c r="B350" s="4" t="inlineStr">
        <is>
          <t>PhD funding</t>
        </is>
      </c>
      <c r="C350" s="4" t="inlineStr">
        <is>
          <t>Guaranteed</t>
        </is>
      </c>
      <c r="D350" s="4" t="inlineStr">
        <is>
          <t>Department generally guarantees PhD support for 5 years</t>
        </is>
      </c>
      <c r="E350" s="4" t="inlineStr">
        <is>
          <t>We are generally required to guarantee support to all Ph.D. students for 5 years.</t>
        </is>
      </c>
      <c r="F350" s="4" t="inlineStr">
        <is>
          <t>https://physics.rutgers.edu/academics/graduate-program/graduate-program-faq</t>
        </is>
      </c>
      <c r="G350" s="4" t="inlineStr"/>
      <c r="H350" s="4" t="inlineStr">
        <is>
          <t>2026-10-21</t>
        </is>
      </c>
    </row>
    <row r="351">
      <c r="A351" s="4" t="inlineStr">
        <is>
          <t>Rutgers University (New Brunswick)</t>
        </is>
      </c>
      <c r="B351" s="4" t="inlineStr">
        <is>
          <t>Entry route</t>
        </is>
      </c>
      <c r="C351" s="4" t="inlineStr">
        <is>
          <t>Not stated</t>
        </is>
      </c>
      <c r="D351" s="4" t="inlineStr">
        <is>
          <t>Not stated on the pages checked</t>
        </is>
      </c>
      <c r="E351" s="4" t="inlineStr">
        <is>
          <t>(no statement found)</t>
        </is>
      </c>
      <c r="F351" s="4" t="inlineStr">
        <is>
          <t>https://physics.rutgers.edu/academics/graduate-program/admissions</t>
        </is>
      </c>
      <c r="G351" s="4" t="inlineStr"/>
      <c r="H351" s="4" t="inlineStr">
        <is>
          <t>2026-10-21</t>
        </is>
      </c>
    </row>
    <row r="352">
      <c r="A352" s="4" t="inlineStr">
        <is>
          <t>SISSA (Trieste)</t>
        </is>
      </c>
      <c r="B352" s="4" t="inlineStr">
        <is>
          <t>Deadline (2027 entry)</t>
        </is>
      </c>
      <c r="C352" s="4" t="inlineStr">
        <is>
          <t>Not stated</t>
        </is>
      </c>
      <c r="D352" s="4" t="inlineStr">
        <is>
          <t>Spring call closes early March each year (exact date in the call); a second call in September only if places remain. 2027 call not yet published.</t>
        </is>
      </c>
      <c r="E352" s="4" t="inlineStr">
        <is>
          <t>The deadline for the Spring opening is early in March of every year (see details in the call for applications).</t>
        </is>
      </c>
      <c r="F352" s="4" t="inlineStr">
        <is>
          <t>https://cm.sissa.it/phd/admission</t>
        </is>
      </c>
      <c r="G352" s="4" t="inlineStr"/>
      <c r="H352" s="4" t="inlineStr">
        <is>
          <t>2026-10-21</t>
        </is>
      </c>
    </row>
    <row r="353">
      <c r="A353" s="4" t="inlineStr">
        <is>
          <t>SISSA (Trieste)</t>
        </is>
      </c>
      <c r="B353" s="4" t="inlineStr">
        <is>
          <t>Application fee</t>
        </is>
      </c>
      <c r="C353" s="4" t="inlineStr">
        <is>
          <t>Not stated</t>
        </is>
      </c>
      <c r="D353" s="4" t="inlineStr">
        <is>
          <t>Not stated on the page checked</t>
        </is>
      </c>
      <c r="E353" s="4" t="inlineStr">
        <is>
          <t>(no statement found)</t>
        </is>
      </c>
      <c r="F353" s="4" t="inlineStr">
        <is>
          <t>https://cm.sissa.it/phd/admission</t>
        </is>
      </c>
      <c r="G353" s="4" t="inlineStr"/>
      <c r="H353" s="4" t="inlineStr">
        <is>
          <t>2026-10-21</t>
        </is>
      </c>
    </row>
    <row r="354">
      <c r="A354" s="4" t="inlineStr">
        <is>
          <t>SISSA (Trieste)</t>
        </is>
      </c>
      <c r="B354" s="4" t="inlineStr">
        <is>
          <t>Intl fee waiver</t>
        </is>
      </c>
      <c r="C354" s="4" t="inlineStr">
        <is>
          <t>Not stated</t>
        </is>
      </c>
      <c r="D354" s="4" t="inlineStr">
        <is>
          <t>Not stated on the page checked</t>
        </is>
      </c>
      <c r="E354" s="4" t="inlineStr">
        <is>
          <t>(no statement found)</t>
        </is>
      </c>
      <c r="F354" s="4" t="inlineStr">
        <is>
          <t>https://cm.sissa.it/phd/admission</t>
        </is>
      </c>
      <c r="G354" s="4" t="inlineStr"/>
      <c r="H354" s="4" t="inlineStr">
        <is>
          <t>2026-10-21</t>
        </is>
      </c>
    </row>
    <row r="355">
      <c r="A355" s="4" t="inlineStr">
        <is>
          <t>SISSA (Trieste)</t>
        </is>
      </c>
      <c r="B355" s="4" t="inlineStr">
        <is>
          <t>GRE General</t>
        </is>
      </c>
      <c r="C355" s="4" t="inlineStr">
        <is>
          <t>Not stated</t>
        </is>
      </c>
      <c r="D355" s="4" t="inlineStr">
        <is>
          <t>Not stated</t>
        </is>
      </c>
      <c r="E355" s="4" t="inlineStr">
        <is>
          <t>(no statement found)</t>
        </is>
      </c>
      <c r="F355" s="4" t="inlineStr">
        <is>
          <t>https://cm.sissa.it/phd/admission</t>
        </is>
      </c>
      <c r="G355" s="4" t="inlineStr"/>
      <c r="H355" s="4" t="inlineStr">
        <is>
          <t>2026-10-21</t>
        </is>
      </c>
    </row>
    <row r="356">
      <c r="A356" s="4" t="inlineStr">
        <is>
          <t>SISSA (Trieste)</t>
        </is>
      </c>
      <c r="B356" s="4" t="inlineStr">
        <is>
          <t>Physics GRE</t>
        </is>
      </c>
      <c r="C356" s="4" t="inlineStr">
        <is>
          <t>Not stated</t>
        </is>
      </c>
      <c r="D356" s="4" t="inlineStr">
        <is>
          <t>Not stated; selection is by SISSA's own written exam and interview</t>
        </is>
      </c>
      <c r="E356" s="4" t="inlineStr">
        <is>
          <t>(no statement found)</t>
        </is>
      </c>
      <c r="F356" s="4" t="inlineStr">
        <is>
          <t>https://cm.sissa.it/phd/admission</t>
        </is>
      </c>
      <c r="G356" s="4" t="inlineStr"/>
      <c r="H356" s="4" t="inlineStr">
        <is>
          <t>2026-10-21</t>
        </is>
      </c>
    </row>
    <row r="357">
      <c r="A357" s="4" t="inlineStr">
        <is>
          <t>SISSA (Trieste)</t>
        </is>
      </c>
      <c r="B357" s="4" t="inlineStr">
        <is>
          <t>TOEFL minimum</t>
        </is>
      </c>
      <c r="C357" s="4" t="inlineStr">
        <is>
          <t>Not stated</t>
        </is>
      </c>
      <c r="D357" s="4" t="inlineStr">
        <is>
          <t>Not stated on the page checked</t>
        </is>
      </c>
      <c r="E357" s="4" t="inlineStr">
        <is>
          <t>(no statement found)</t>
        </is>
      </c>
      <c r="F357" s="4" t="inlineStr">
        <is>
          <t>https://cm.sissa.it/phd/admission</t>
        </is>
      </c>
      <c r="G357" s="4" t="inlineStr"/>
      <c r="H357" s="4" t="inlineStr">
        <is>
          <t>2026-10-21</t>
        </is>
      </c>
    </row>
    <row r="358">
      <c r="A358" s="4" t="inlineStr">
        <is>
          <t>SISSA (Trieste)</t>
        </is>
      </c>
      <c r="B358" s="4" t="inlineStr">
        <is>
          <t>English-test waiver (English-medium degree)</t>
        </is>
      </c>
      <c r="C358" s="4" t="inlineStr">
        <is>
          <t>Not stated</t>
        </is>
      </c>
      <c r="D358" s="4" t="inlineStr">
        <is>
          <t>Not stated on the page checked</t>
        </is>
      </c>
      <c r="E358" s="4" t="inlineStr">
        <is>
          <t>(no statement found)</t>
        </is>
      </c>
      <c r="F358" s="4" t="inlineStr">
        <is>
          <t>https://cm.sissa.it/phd/admission</t>
        </is>
      </c>
      <c r="G358" s="4" t="inlineStr"/>
      <c r="H358" s="4" t="inlineStr">
        <is>
          <t>2026-10-21</t>
        </is>
      </c>
    </row>
    <row r="359">
      <c r="A359" s="4" t="inlineStr">
        <is>
          <t>SISSA (Trieste)</t>
        </is>
      </c>
      <c r="B359" s="4" t="inlineStr">
        <is>
          <t>Supervisor before admission</t>
        </is>
      </c>
      <c r="C359" s="4" t="inlineStr">
        <is>
          <t>Not stated</t>
        </is>
      </c>
      <c r="D359" s="4" t="inlineStr">
        <is>
          <t>Selection is a competition (qualifications, written exam, interview); no prior supervisor requirement mentioned</t>
        </is>
      </c>
      <c r="E359" s="4" t="inlineStr">
        <is>
          <t>The students will be selected through a competition based on academic qualifications, a written exam and an interview held at SISSA (or via Skype/videoconference for candidates who can not reach Trieste).</t>
        </is>
      </c>
      <c r="F359" s="4" t="inlineStr">
        <is>
          <t>https://cm.sissa.it/phd/admission</t>
        </is>
      </c>
      <c r="G359" s="4" t="inlineStr"/>
      <c r="H359" s="4" t="inlineStr">
        <is>
          <t>2026-10-21</t>
        </is>
      </c>
    </row>
    <row r="360">
      <c r="A360" s="4" t="inlineStr">
        <is>
          <t>SISSA (Trieste)</t>
        </is>
      </c>
      <c r="B360" s="4" t="inlineStr">
        <is>
          <t>PhD funding</t>
        </is>
      </c>
      <c r="C360" s="4" t="inlineStr">
        <is>
          <t>Not stated</t>
        </is>
      </c>
      <c r="D360" s="4" t="inlineStr">
        <is>
          <t>Not stated on the page checked</t>
        </is>
      </c>
      <c r="E360" s="4" t="inlineStr">
        <is>
          <t>(no statement found)</t>
        </is>
      </c>
      <c r="F360" s="4" t="inlineStr">
        <is>
          <t>https://cm.sissa.it/phd/admission</t>
        </is>
      </c>
      <c r="G360" s="4" t="inlineStr"/>
      <c r="H360" s="4" t="inlineStr">
        <is>
          <t>2026-10-21</t>
        </is>
      </c>
    </row>
    <row r="361">
      <c r="A361" s="4" t="inlineStr">
        <is>
          <t>SISSA (Trieste)</t>
        </is>
      </c>
      <c r="B361" s="4" t="inlineStr">
        <is>
          <t>Entry route</t>
        </is>
      </c>
      <c r="C361" s="4" t="inlineStr">
        <is>
          <t>Not stated</t>
        </is>
      </c>
      <c r="D361" s="4" t="inlineStr">
        <is>
          <t>Not stated on the page checked</t>
        </is>
      </c>
      <c r="E361" s="4" t="inlineStr">
        <is>
          <t>(no statement found)</t>
        </is>
      </c>
      <c r="F361" s="4" t="inlineStr">
        <is>
          <t>https://cm.sissa.it/phd/admission</t>
        </is>
      </c>
      <c r="G361" s="4" t="inlineStr"/>
      <c r="H361" s="4" t="inlineStr">
        <is>
          <t>2026-10-21</t>
        </is>
      </c>
    </row>
    <row r="362">
      <c r="A362" s="4" t="inlineStr">
        <is>
          <t>Simon Fraser University</t>
        </is>
      </c>
      <c r="B362" s="4" t="inlineStr">
        <is>
          <t>Deadline (2027 entry)</t>
        </is>
      </c>
      <c r="C362" s="4" t="inlineStr">
        <is>
          <t>2027-01-15</t>
        </is>
      </c>
      <c r="D362" s="4" t="inlineStr">
        <is>
          <t>Apply before January 15 (better chance at desired group and awards); system open until May 31. Year inferred.</t>
        </is>
      </c>
      <c r="E362" s="4" t="inlineStr">
        <is>
          <t>Applicants are encouraged to apply before January 15, though the admission system remains open until May 31.</t>
        </is>
      </c>
      <c r="F362" s="4" t="inlineStr">
        <is>
          <t>https://www.sfu.ca/physics/graduate/prospective/applying.html</t>
        </is>
      </c>
      <c r="G362" s="4" t="inlineStr">
        <is>
          <t>year inferred; rolling</t>
        </is>
      </c>
      <c r="H362" s="4" t="inlineStr">
        <is>
          <t>2026-10-21</t>
        </is>
      </c>
    </row>
    <row r="363">
      <c r="A363" s="4" t="inlineStr">
        <is>
          <t>Simon Fraser University</t>
        </is>
      </c>
      <c r="B363" s="4" t="inlineStr">
        <is>
          <t>Application fee</t>
        </is>
      </c>
      <c r="C363" s="4" t="inlineStr">
        <is>
          <t>150 CAD</t>
        </is>
      </c>
      <c r="D363" s="4" t="inlineStr">
        <is>
          <t>CAD 150 with international transcripts (CAD 110 Canadian)</t>
        </is>
      </c>
      <c r="E363" s="4" t="inlineStr">
        <is>
          <t>A fee of $110 CDN (for students with Canadian transcripts) or $150 CDN (for students with international transcripts) will apply.</t>
        </is>
      </c>
      <c r="F363" s="4" t="inlineStr">
        <is>
          <t>https://www.sfu.ca/physics/graduate/prospective/applying.html</t>
        </is>
      </c>
      <c r="G363" s="4" t="inlineStr"/>
      <c r="H363" s="4" t="inlineStr">
        <is>
          <t>2026-10-21</t>
        </is>
      </c>
    </row>
    <row r="364">
      <c r="A364" s="4" t="inlineStr">
        <is>
          <t>Simon Fraser University</t>
        </is>
      </c>
      <c r="B364" s="4" t="inlineStr">
        <is>
          <t>Intl fee waiver</t>
        </is>
      </c>
      <c r="C364" s="4" t="inlineStr">
        <is>
          <t>Not stated</t>
        </is>
      </c>
      <c r="D364" s="4" t="inlineStr">
        <is>
          <t>Not stated on the pages checked</t>
        </is>
      </c>
      <c r="E364" s="4" t="inlineStr">
        <is>
          <t>(no statement found)</t>
        </is>
      </c>
      <c r="F364" s="4" t="inlineStr">
        <is>
          <t>https://www.sfu.ca/physics/graduate/prospective/applying.html</t>
        </is>
      </c>
      <c r="G364" s="4" t="inlineStr"/>
      <c r="H364" s="4" t="inlineStr">
        <is>
          <t>2026-10-21</t>
        </is>
      </c>
    </row>
    <row r="365">
      <c r="A365" s="4" t="inlineStr">
        <is>
          <t>Simon Fraser University</t>
        </is>
      </c>
      <c r="B365" s="4" t="inlineStr">
        <is>
          <t>GRE General</t>
        </is>
      </c>
      <c r="C365" s="4" t="inlineStr">
        <is>
          <t>Not stated</t>
        </is>
      </c>
      <c r="D365" s="4" t="inlineStr">
        <is>
          <t>Not stated on the pages checked</t>
        </is>
      </c>
      <c r="E365" s="4" t="inlineStr">
        <is>
          <t>(no statement found)</t>
        </is>
      </c>
      <c r="F365" s="4" t="inlineStr">
        <is>
          <t>https://www.sfu.ca/physics/graduate/prospective/applying.html</t>
        </is>
      </c>
      <c r="G365" s="4" t="inlineStr"/>
      <c r="H365" s="4" t="inlineStr">
        <is>
          <t>2026-10-21</t>
        </is>
      </c>
    </row>
    <row r="366">
      <c r="A366" s="4" t="inlineStr">
        <is>
          <t>Simon Fraser University</t>
        </is>
      </c>
      <c r="B366" s="4" t="inlineStr">
        <is>
          <t>Physics GRE</t>
        </is>
      </c>
      <c r="C366" s="4" t="inlineStr">
        <is>
          <t>Not stated</t>
        </is>
      </c>
      <c r="D366" s="4" t="inlineStr">
        <is>
          <t>Not stated on the pages checked</t>
        </is>
      </c>
      <c r="E366" s="4" t="inlineStr">
        <is>
          <t>(no statement found)</t>
        </is>
      </c>
      <c r="F366" s="4" t="inlineStr">
        <is>
          <t>https://www.sfu.ca/physics/graduate/prospective/applying.html</t>
        </is>
      </c>
      <c r="G366" s="4" t="inlineStr"/>
      <c r="H366" s="4" t="inlineStr">
        <is>
          <t>2026-10-21</t>
        </is>
      </c>
    </row>
    <row r="367">
      <c r="A367" s="4" t="inlineStr">
        <is>
          <t>Simon Fraser University</t>
        </is>
      </c>
      <c r="B367" s="4" t="inlineStr">
        <is>
          <t>TOEFL minimum</t>
        </is>
      </c>
      <c r="C367" s="4" t="inlineStr">
        <is>
          <t>Not stated</t>
        </is>
      </c>
      <c r="D367" s="4" t="inlineStr">
        <is>
          <t>University minimums apply; not shown on the pages checked</t>
        </is>
      </c>
      <c r="E367" s="4" t="inlineStr">
        <is>
          <t>Applicants whose primary language is not English must submit English proficiency examination results that meet the University minimum requirements for graduate admission.</t>
        </is>
      </c>
      <c r="F367" s="4" t="inlineStr">
        <is>
          <t>https://www.sfu.ca/physics/graduate/prospective/admission-requirements.html</t>
        </is>
      </c>
      <c r="G367" s="4" t="inlineStr"/>
      <c r="H367" s="4" t="inlineStr">
        <is>
          <t>2026-10-21</t>
        </is>
      </c>
    </row>
    <row r="368">
      <c r="A368" s="4" t="inlineStr">
        <is>
          <t>Simon Fraser University</t>
        </is>
      </c>
      <c r="B368" s="4" t="inlineStr">
        <is>
          <t>English-test waiver (English-medium degree)</t>
        </is>
      </c>
      <c r="C368" s="4" t="inlineStr">
        <is>
          <t>No</t>
        </is>
      </c>
      <c r="D368" s="4" t="inlineStr">
        <is>
          <t>Exempt only if BOTH: degree taught and examined in English AND institution in an English-primary country (list linked); otherwise submit scores</t>
        </is>
      </c>
      <c r="E368" s="4" t="inlineStr">
        <is>
          <t>International applicants are exempt from providing English test scores if both of the following conditions are met: They have completed a post-secondary degree at an institution where the language of instruction and examination was in English. That the institution was located in a country where English is the primary language (including Canada).</t>
        </is>
      </c>
      <c r="F368" s="4" t="inlineStr">
        <is>
          <t>https://www.sfu.ca/physics/graduate/prospective/admission-requirements.html</t>
        </is>
      </c>
      <c r="G368" s="4" t="inlineStr"/>
      <c r="H368" s="4" t="inlineStr">
        <is>
          <t>2026-10-21</t>
        </is>
      </c>
    </row>
    <row r="369">
      <c r="A369" s="4" t="inlineStr">
        <is>
          <t>Simon Fraser University</t>
        </is>
      </c>
      <c r="B369" s="4" t="inlineStr">
        <is>
          <t>Supervisor before admission</t>
        </is>
      </c>
      <c r="C369" s="4" t="inlineStr">
        <is>
          <t>Not stated</t>
        </is>
      </c>
      <c r="D369" s="4" t="inlineStr">
        <is>
          <t>Not stated in the text checked; transfers need supervisory committee approval</t>
        </is>
      </c>
      <c r="E369" s="4" t="inlineStr">
        <is>
          <t>(no statement found)</t>
        </is>
      </c>
      <c r="F369" s="4" t="inlineStr">
        <is>
          <t>https://www.sfu.ca/physics/graduate/prospective/applying.html</t>
        </is>
      </c>
      <c r="G369" s="4" t="inlineStr"/>
      <c r="H369" s="4" t="inlineStr">
        <is>
          <t>2026-10-21</t>
        </is>
      </c>
    </row>
    <row r="370">
      <c r="A370" s="4" t="inlineStr">
        <is>
          <t>Simon Fraser University</t>
        </is>
      </c>
      <c r="B370" s="4" t="inlineStr">
        <is>
          <t>PhD funding</t>
        </is>
      </c>
      <c r="C370" s="4" t="inlineStr">
        <is>
          <t>Not stated</t>
        </is>
      </c>
      <c r="D370" s="4" t="inlineStr">
        <is>
          <t>Not stated on the pages checked</t>
        </is>
      </c>
      <c r="E370" s="4" t="inlineStr">
        <is>
          <t>(no statement found)</t>
        </is>
      </c>
      <c r="F370" s="4" t="inlineStr">
        <is>
          <t>https://www.sfu.ca/physics/graduate/prospective/applying.html</t>
        </is>
      </c>
      <c r="G370" s="4" t="inlineStr"/>
      <c r="H370" s="4" t="inlineStr">
        <is>
          <t>2026-10-21</t>
        </is>
      </c>
    </row>
    <row r="371">
      <c r="A371" s="4" t="inlineStr">
        <is>
          <t>Simon Fraser University</t>
        </is>
      </c>
      <c r="B371" s="4" t="inlineStr">
        <is>
          <t>Entry route</t>
        </is>
      </c>
      <c r="C371" s="4" t="inlineStr">
        <is>
          <t>Master's usually required</t>
        </is>
      </c>
      <c r="D371" s="4" t="inlineStr">
        <is>
          <t>Master's or equivalent required; BSc holders cannot apply directly but can transfer from the MSc</t>
        </is>
      </c>
      <c r="E371" s="4" t="inlineStr">
        <is>
          <t>A master's degree, or the equivalent is required. | Note that BSc degree-holders may not apply directly to the PhD program, but may apply for transfer to the PhD program without completing an MSc degree.</t>
        </is>
      </c>
      <c r="F371" s="4" t="inlineStr">
        <is>
          <t>https://www.sfu.ca/physics/graduate/prospective/admission-requirements.html</t>
        </is>
      </c>
      <c r="G371" s="4" t="inlineStr"/>
      <c r="H371" s="4" t="inlineStr">
        <is>
          <t>2026-10-21</t>
        </is>
      </c>
    </row>
    <row r="372">
      <c r="A372" s="4" t="inlineStr">
        <is>
          <t>Stanford University</t>
        </is>
      </c>
      <c r="B372" s="4" t="inlineStr">
        <is>
          <t>Deadline (2027 entry)</t>
        </is>
      </c>
      <c r="C372" s="4" t="inlineStr">
        <is>
          <t>2026-12-14</t>
        </is>
      </c>
      <c r="D372" s="4" t="inlineStr">
        <is>
          <t>11:59pm PST, December 14, 2026 (no late applications); Knight-Hennessy applicants: physics application by December 1, 2026</t>
        </is>
      </c>
      <c r="E372" s="4" t="inlineStr">
        <is>
          <t>The application deadline for this academic year 2026-27 (2027-28 admissions cycle) is 11:59pm Pacific Standard Time, Monday, December 14, 2026.</t>
        </is>
      </c>
      <c r="F372" s="4" t="inlineStr">
        <is>
          <t>https://physics.stanford.edu/graduate/graduate-admissions</t>
        </is>
      </c>
      <c r="G372" s="4" t="inlineStr"/>
      <c r="H372" s="4" t="inlineStr">
        <is>
          <t>2026-10-21</t>
        </is>
      </c>
    </row>
    <row r="373">
      <c r="A373" s="4" t="inlineStr">
        <is>
          <t>Stanford University</t>
        </is>
      </c>
      <c r="B373" s="4" t="inlineStr">
        <is>
          <t>Application fee</t>
        </is>
      </c>
      <c r="C373" s="4" t="inlineStr">
        <is>
          <t>Not stated</t>
        </is>
      </c>
      <c r="D373" s="4" t="inlineStr">
        <is>
          <t>Amount not shown on the pages checked</t>
        </is>
      </c>
      <c r="E373" s="4" t="inlineStr">
        <is>
          <t>(no statement found)</t>
        </is>
      </c>
      <c r="F373" s="4" t="inlineStr">
        <is>
          <t>https://physics.stanford.edu/graduate/graduate-admissions</t>
        </is>
      </c>
      <c r="G373" s="4" t="inlineStr"/>
      <c r="H373" s="4" t="inlineStr">
        <is>
          <t>2026-10-21</t>
        </is>
      </c>
    </row>
    <row r="374">
      <c r="A374" s="4" t="inlineStr">
        <is>
          <t>Stanford University</t>
        </is>
      </c>
      <c r="B374" s="4" t="inlineStr">
        <is>
          <t>Intl fee waiver</t>
        </is>
      </c>
      <c r="C374" s="4" t="inlineStr">
        <is>
          <t>Limited</t>
        </is>
      </c>
      <c r="D374" s="4" t="inlineStr">
        <is>
          <t>Some applicants may qualify; see Stanford Graduate Admissions fee-waiver page for eligibility</t>
        </is>
      </c>
      <c r="E374" s="4" t="inlineStr">
        <is>
          <t>Some applicants may qualify for an application fee waiver.</t>
        </is>
      </c>
      <c r="F374" s="4" t="inlineStr">
        <is>
          <t>https://physics.stanford.edu/graduate/graduate-admissions/application-faqs</t>
        </is>
      </c>
      <c r="G374" s="4" t="inlineStr"/>
      <c r="H374" s="4" t="inlineStr">
        <is>
          <t>2026-10-21</t>
        </is>
      </c>
    </row>
    <row r="375">
      <c r="A375" s="4" t="inlineStr">
        <is>
          <t>Stanford University</t>
        </is>
      </c>
      <c r="B375" s="4" t="inlineStr">
        <is>
          <t>GRE General</t>
        </is>
      </c>
      <c r="C375" s="4" t="inlineStr">
        <is>
          <t>Required</t>
        </is>
      </c>
      <c r="D375" s="4" t="inlineStr">
        <is>
          <t>GRE General REQUIRED for all applicants (exceptions case-by-case)</t>
        </is>
      </c>
      <c r="E375" s="4" t="inlineStr">
        <is>
          <t>For the Fall 2027-28 admissions cycle, The GRE General Test and the Physics GRE Subject Test are required for all applicants</t>
        </is>
      </c>
      <c r="F375" s="4" t="inlineStr">
        <is>
          <t>https://physics.stanford.edu/graduate/graduate-admissions/application-faqs</t>
        </is>
      </c>
      <c r="G375" s="4" t="inlineStr"/>
      <c r="H375" s="4" t="inlineStr">
        <is>
          <t>2026-10-21</t>
        </is>
      </c>
    </row>
    <row r="376">
      <c r="A376" s="4" t="inlineStr">
        <is>
          <t>Stanford University</t>
        </is>
      </c>
      <c r="B376" s="4" t="inlineStr">
        <is>
          <t>Physics GRE</t>
        </is>
      </c>
      <c r="C376" s="4" t="inlineStr">
        <is>
          <t>Required</t>
        </is>
      </c>
      <c r="D376" s="4" t="inlineStr">
        <is>
          <t>Physics GRE REQUIRED for all applicants</t>
        </is>
      </c>
      <c r="E376" s="4" t="inlineStr">
        <is>
          <t>For the Fall 2027-28 admissions cycle, The GRE General Test and the Physics GRE Subject Test are required for all applicants, as they help us fairly assess problem-solving skills.</t>
        </is>
      </c>
      <c r="F376" s="4" t="inlineStr">
        <is>
          <t>https://physics.stanford.edu/graduate/graduate-admissions/application-faqs</t>
        </is>
      </c>
      <c r="G376" s="4" t="inlineStr"/>
      <c r="H376" s="4" t="inlineStr">
        <is>
          <t>2026-10-21</t>
        </is>
      </c>
    </row>
    <row r="377">
      <c r="A377" s="4" t="inlineStr">
        <is>
          <t>Stanford University</t>
        </is>
      </c>
      <c r="B377" s="4" t="inlineStr">
        <is>
          <t>TOEFL minimum</t>
        </is>
      </c>
      <c r="C377" s="4" t="inlineStr">
        <is>
          <t>Not stated</t>
        </is>
      </c>
      <c r="D377" s="4" t="inlineStr">
        <is>
          <t>TOEFL iBT or IELTS Academic at the university minimum; minimum not shown on the pages checked</t>
        </is>
      </c>
      <c r="E377" s="4" t="inlineStr">
        <is>
          <t>at the time of application you are required to submit an official test score from the Test of English as a Foreign Language Internet-Based Test (TOEFL iBT) or the International English Language Testing System Academic Test (IELTS Academic) that meets the university’s minimum score</t>
        </is>
      </c>
      <c r="F377" s="4" t="inlineStr">
        <is>
          <t>https://physics.stanford.edu/graduate/graduate-admissions/application-faqs</t>
        </is>
      </c>
      <c r="G377" s="4" t="inlineStr"/>
      <c r="H377" s="4" t="inlineStr">
        <is>
          <t>2026-10-21</t>
        </is>
      </c>
    </row>
    <row r="378">
      <c r="A378" s="4" t="inlineStr">
        <is>
          <t>Stanford University</t>
        </is>
      </c>
      <c r="B378" s="4" t="inlineStr">
        <is>
          <t>English-test waiver (English-medium degree)</t>
        </is>
      </c>
      <c r="C378" s="4" t="inlineStr">
        <is>
          <t>Yes</t>
        </is>
      </c>
      <c r="D378" s="4" t="inlineStr">
        <is>
          <t>Not required if your degree (or international equivalent) is from a university where ALL instruction was in English; no documents needed at application</t>
        </is>
      </c>
      <c r="E378" s="4" t="inlineStr">
        <is>
          <t>You earned a U.S. bachelor’s, master’s or doctoral degree, or international equivalent from a university where all instruction was conducted in English.</t>
        </is>
      </c>
      <c r="F378" s="4" t="inlineStr">
        <is>
          <t>https://physics.stanford.edu/graduate/graduate-admissions/application-faqs</t>
        </is>
      </c>
      <c r="G378" s="4" t="inlineStr"/>
      <c r="H378" s="4" t="inlineStr">
        <is>
          <t>2026-10-21</t>
        </is>
      </c>
    </row>
    <row r="379">
      <c r="A379" s="4" t="inlineStr">
        <is>
          <t>Stanford University</t>
        </is>
      </c>
      <c r="B379" s="4" t="inlineStr">
        <is>
          <t>Supervisor before admission</t>
        </is>
      </c>
      <c r="C379" s="4" t="inlineStr">
        <is>
          <t>Not stated</t>
        </is>
      </c>
      <c r="D379" s="4" t="inlineStr">
        <is>
          <t>No pre-application supervisor requirement mentioned (you choose theory/experiment/astro area)</t>
        </is>
      </c>
      <c r="E379" s="4" t="inlineStr">
        <is>
          <t>(no statement found)</t>
        </is>
      </c>
      <c r="F379" s="4" t="inlineStr">
        <is>
          <t>https://physics.stanford.edu/graduate/graduate-admissions</t>
        </is>
      </c>
      <c r="G379" s="4" t="inlineStr"/>
      <c r="H379" s="4" t="inlineStr">
        <is>
          <t>2026-10-21</t>
        </is>
      </c>
    </row>
    <row r="380">
      <c r="A380" s="4" t="inlineStr">
        <is>
          <t>Stanford University</t>
        </is>
      </c>
      <c r="B380" s="4" t="inlineStr">
        <is>
          <t>PhD funding</t>
        </is>
      </c>
      <c r="C380" s="4" t="inlineStr">
        <is>
          <t>Guaranteed</t>
        </is>
      </c>
      <c r="D380" s="4" t="inlineStr">
        <is>
          <t>Department provides financial support for all enrolled students</t>
        </is>
      </c>
      <c r="E380" s="4" t="inlineStr">
        <is>
          <t>The Department provides financial support for all enrolled students.</t>
        </is>
      </c>
      <c r="F380" s="4" t="inlineStr">
        <is>
          <t>https://physics.stanford.edu/graduate/graduate-admissions</t>
        </is>
      </c>
      <c r="G380" s="4" t="inlineStr"/>
      <c r="H380" s="4" t="inlineStr">
        <is>
          <t>2026-10-21</t>
        </is>
      </c>
    </row>
    <row r="381">
      <c r="A381" s="4" t="inlineStr">
        <is>
          <t>Stanford University</t>
        </is>
      </c>
      <c r="B381" s="4" t="inlineStr">
        <is>
          <t>Entry route</t>
        </is>
      </c>
      <c r="C381" s="4" t="inlineStr">
        <is>
          <t>Not stated</t>
        </is>
      </c>
      <c r="D381" s="4" t="inlineStr">
        <is>
          <t>Not stated on the pages checked</t>
        </is>
      </c>
      <c r="E381" s="4" t="inlineStr">
        <is>
          <t>(no statement found)</t>
        </is>
      </c>
      <c r="F381" s="4" t="inlineStr">
        <is>
          <t>https://physics.stanford.edu/graduate/graduate-admissions</t>
        </is>
      </c>
      <c r="G381" s="4" t="inlineStr"/>
      <c r="H381" s="4" t="inlineStr">
        <is>
          <t>2026-10-21</t>
        </is>
      </c>
    </row>
    <row r="382">
      <c r="A382" s="4" t="inlineStr">
        <is>
          <t>Stockholm University</t>
        </is>
      </c>
      <c r="B382" s="4" t="inlineStr">
        <is>
          <t>Deadline (2027 entry)</t>
        </is>
      </c>
      <c r="C382" s="4" t="inlineStr">
        <is>
          <t>Per position</t>
        </is>
      </c>
      <c r="D382" s="4" t="inlineStr">
        <is>
          <t>No central deadline: positions are advertised on the department vacancies page about four times a year (normally Feb, Apr, Sep, Oct), each with its own deadline. The page lists only 2025 dates</t>
        </is>
      </c>
      <c r="E382" s="4" t="inlineStr">
        <is>
          <t>All open positions are announced on the departmental vacancies webpage. This is done four times per year. Announcements are normally published February, April, September and October.</t>
        </is>
      </c>
      <c r="F382" s="4" t="inlineStr">
        <is>
          <t>https://www.su.se/english/divisions/department-of-physics/education/courses-and-programmes/eligibility-application-and-admission</t>
        </is>
      </c>
      <c r="G382" s="4" t="inlineStr"/>
      <c r="H382" s="4" t="inlineStr">
        <is>
          <t>2026-10-21</t>
        </is>
      </c>
    </row>
    <row r="383">
      <c r="A383" s="4" t="inlineStr">
        <is>
          <t>Stockholm University</t>
        </is>
      </c>
      <c r="B383" s="4" t="inlineStr">
        <is>
          <t>Application fee</t>
        </is>
      </c>
      <c r="C383" s="4" t="inlineStr">
        <is>
          <t>Not stated</t>
        </is>
      </c>
      <c r="D383" s="4" t="inlineStr">
        <is>
          <t>Not stated on the page checked</t>
        </is>
      </c>
      <c r="E383" s="4" t="inlineStr">
        <is>
          <t>(no statement found)</t>
        </is>
      </c>
      <c r="F383" s="4" t="inlineStr">
        <is>
          <t>https://www.su.se/english/divisions/department-of-physics/education/courses-and-programmes/doctoral-studies-at-the-department-of-physics</t>
        </is>
      </c>
      <c r="G383" s="4" t="inlineStr"/>
      <c r="H383" s="4" t="inlineStr">
        <is>
          <t>2026-10-21</t>
        </is>
      </c>
    </row>
    <row r="384">
      <c r="A384" s="4" t="inlineStr">
        <is>
          <t>Stockholm University</t>
        </is>
      </c>
      <c r="B384" s="4" t="inlineStr">
        <is>
          <t>Intl fee waiver</t>
        </is>
      </c>
      <c r="C384" s="4" t="inlineStr">
        <is>
          <t>Not stated</t>
        </is>
      </c>
      <c r="D384" s="4" t="inlineStr">
        <is>
          <t>Not stated on the page checked</t>
        </is>
      </c>
      <c r="E384" s="4" t="inlineStr">
        <is>
          <t>(no statement found)</t>
        </is>
      </c>
      <c r="F384" s="4" t="inlineStr">
        <is>
          <t>https://www.su.se/english/divisions/department-of-physics/education/courses-and-programmes/doctoral-studies-at-the-department-of-physics</t>
        </is>
      </c>
      <c r="G384" s="4" t="inlineStr"/>
      <c r="H384" s="4" t="inlineStr">
        <is>
          <t>2026-10-21</t>
        </is>
      </c>
    </row>
    <row r="385">
      <c r="A385" s="4" t="inlineStr">
        <is>
          <t>Stockholm University</t>
        </is>
      </c>
      <c r="B385" s="4" t="inlineStr">
        <is>
          <t>GRE General</t>
        </is>
      </c>
      <c r="C385" s="4" t="inlineStr">
        <is>
          <t>Not stated</t>
        </is>
      </c>
      <c r="D385" s="4" t="inlineStr">
        <is>
          <t>Not stated on the page checked</t>
        </is>
      </c>
      <c r="E385" s="4" t="inlineStr">
        <is>
          <t>(no statement found)</t>
        </is>
      </c>
      <c r="F385" s="4" t="inlineStr">
        <is>
          <t>https://www.su.se/english/divisions/department-of-physics/education/courses-and-programmes/doctoral-studies-at-the-department-of-physics</t>
        </is>
      </c>
      <c r="G385" s="4" t="inlineStr"/>
      <c r="H385" s="4" t="inlineStr">
        <is>
          <t>2026-10-21</t>
        </is>
      </c>
    </row>
    <row r="386">
      <c r="A386" s="4" t="inlineStr">
        <is>
          <t>Stockholm University</t>
        </is>
      </c>
      <c r="B386" s="4" t="inlineStr">
        <is>
          <t>Physics GRE</t>
        </is>
      </c>
      <c r="C386" s="4" t="inlineStr">
        <is>
          <t>Not stated</t>
        </is>
      </c>
      <c r="D386" s="4" t="inlineStr">
        <is>
          <t>Not stated on the page checked</t>
        </is>
      </c>
      <c r="E386" s="4" t="inlineStr">
        <is>
          <t>(no statement found)</t>
        </is>
      </c>
      <c r="F386" s="4" t="inlineStr">
        <is>
          <t>https://www.su.se/english/divisions/department-of-physics/education/courses-and-programmes/doctoral-studies-at-the-department-of-physics</t>
        </is>
      </c>
      <c r="G386" s="4" t="inlineStr"/>
      <c r="H386" s="4" t="inlineStr">
        <is>
          <t>2026-10-21</t>
        </is>
      </c>
    </row>
    <row r="387">
      <c r="A387" s="4" t="inlineStr">
        <is>
          <t>Stockholm University</t>
        </is>
      </c>
      <c r="B387" s="4" t="inlineStr">
        <is>
          <t>TOEFL minimum</t>
        </is>
      </c>
      <c r="C387" s="4" t="inlineStr">
        <is>
          <t>79</t>
        </is>
      </c>
      <c r="D387" s="4" t="inlineStr">
        <is>
          <t>Department page: TOEFL iBT 79 (paper 550) or IELTS Academic 6.0 with no section below 5.0. Sweden's national English 6 standard (University Admissions) is higher at TOEFL iBT 90 with 20 in writing, so confirm with the department</t>
        </is>
      </c>
      <c r="E387" s="4" t="inlineStr">
        <is>
          <t>TOEFL score of 550 or more (computer based test 213, internet based 79) | IELTS score (Academic) of 6.0 or more (with none of the sections scoring less than 5.0) | You are also required to have knowledge of English corresponding to English B / English 6 in high school.  ||  For English 6/English Level 2*: Score of 20 (scale 0-30) in written test, total score of 90 (https://www.universityadmissions.se/en/entry-requirements/english-language-requirements/)</t>
        </is>
      </c>
      <c r="F387" s="4" t="inlineStr">
        <is>
          <t>https://www.su.se/english/divisions/department-of-physics/education/courses-and-programmes/eligibility-application-and-admission</t>
        </is>
      </c>
      <c r="G387" s="4" t="inlineStr">
        <is>
          <t>sources conflict</t>
        </is>
      </c>
      <c r="H387" s="4" t="inlineStr">
        <is>
          <t>2026-10-21</t>
        </is>
      </c>
    </row>
    <row r="388">
      <c r="A388" s="4" t="inlineStr">
        <is>
          <t>Stockholm University</t>
        </is>
      </c>
      <c r="B388" s="4" t="inlineStr">
        <is>
          <t>English-test waiver (English-medium degree)</t>
        </is>
      </c>
      <c r="C388" s="4" t="inlineStr">
        <is>
          <t>Yes</t>
        </is>
      </c>
      <c r="D388" s="4" t="inlineStr">
        <is>
          <t>A previously completed university degree taught in English is listed as meeting the English requirement (as an alternative to IELTS/TOEFL)</t>
        </is>
      </c>
      <c r="E388" s="4" t="inlineStr">
        <is>
          <t>Good knowledge in English is required. At least is needed something equivalent to the Swedish high-school course English B or: | Previously completed University degree taught in English</t>
        </is>
      </c>
      <c r="F388" s="4" t="inlineStr">
        <is>
          <t>https://www.su.se/english/divisions/department-of-physics/education/courses-and-programmes/eligibility-application-and-admission</t>
        </is>
      </c>
      <c r="G388" s="4" t="inlineStr"/>
      <c r="H388" s="4" t="inlineStr">
        <is>
          <t>2026-10-21</t>
        </is>
      </c>
    </row>
    <row r="389">
      <c r="A389" s="4" t="inlineStr">
        <is>
          <t>Stockholm University</t>
        </is>
      </c>
      <c r="B389" s="4" t="inlineStr">
        <is>
          <t>Supervisor before admission</t>
        </is>
      </c>
      <c r="C389" s="4" t="inlineStr">
        <is>
          <t>Required</t>
        </is>
      </c>
      <c r="D389" s="4" t="inlineStr">
        <is>
          <t>You apply to a specific advertised position and are assessed against the other applicants for it; at least two supervisors are appointed in connection with admission</t>
        </is>
      </c>
      <c r="E389" s="4" t="inlineStr">
        <is>
          <t>Your qualifications will be assessed in competion with other applicants for the same advertised position. | In connection with admission, at least two supervisors are appointed, one of which is your main supervisor.</t>
        </is>
      </c>
      <c r="F389" s="4" t="inlineStr">
        <is>
          <t>https://www.su.se/english/divisions/department-of-physics/education/courses-and-programmes/eligibility-application-and-admission</t>
        </is>
      </c>
      <c r="G389" s="4" t="inlineStr"/>
      <c r="H389" s="4" t="inlineStr">
        <is>
          <t>2026-10-21</t>
        </is>
      </c>
    </row>
    <row r="390">
      <c r="A390" s="4" t="inlineStr">
        <is>
          <t>Stockholm University</t>
        </is>
      </c>
      <c r="B390" s="4" t="inlineStr">
        <is>
          <t>PhD funding</t>
        </is>
      </c>
      <c r="C390" s="4" t="inlineStr">
        <is>
          <t>Guaranteed</t>
        </is>
      </c>
      <c r="D390" s="4" t="inlineStr">
        <is>
          <t>Funding for the whole study period (normally 4 years) is a condition of admission; in most cases you are employed as a PhD student with a salary</t>
        </is>
      </c>
      <c r="E390" s="4" t="inlineStr">
        <is>
          <t>A condition for admission, in addition to possessing the required educational qualifications, is that the student will have sufficient economic support during the whole period of study, normally 4 years full time study. In most cases you will be employed as PhD student for your period of studies.  ||  As a doctoral student, you will normally be employed at the Department of Physics and receive a salary to be able to support yourself during your studies. (https://www.su.se/english/divisions/department-of-physics/education/courses-and-programmes/study-funding-during-postgraduate-education)</t>
        </is>
      </c>
      <c r="F390" s="4" t="inlineStr">
        <is>
          <t>https://www.su.se/english/divisions/department-of-physics/education/courses-and-programmes/doctoral-studies-at-the-department-of-physics</t>
        </is>
      </c>
      <c r="G390" s="4" t="inlineStr"/>
      <c r="H390" s="4" t="inlineStr">
        <is>
          <t>2026-10-21</t>
        </is>
      </c>
    </row>
    <row r="391">
      <c r="A391" s="4" t="inlineStr">
        <is>
          <t>Stockholm University</t>
        </is>
      </c>
      <c r="B391" s="4" t="inlineStr">
        <is>
          <t>Entry route</t>
        </is>
      </c>
      <c r="C391" s="4" t="inlineStr">
        <is>
          <t>Master's usually required</t>
        </is>
      </c>
      <c r="D391" s="4" t="inlineStr">
        <is>
          <t>240 credits (a master's or 4-year degree) including at least 60 credits of advanced-level physics and an advanced-level physics degree project of at least 15 credits (a BSc project does not count)</t>
        </is>
      </c>
      <c r="E391" s="4" t="inlineStr">
        <is>
          <t>You have an advanced level degree (master or 4-year degree) or have studied courses corresponding to at least 240 credits (4 years of studies) | You have completed a degree project in Physics at advanced level (not a BSc degree project) corresponding to at least 15 credits. | You have studied courses at advanced level in physics of at least 60 credits.</t>
        </is>
      </c>
      <c r="F391" s="4" t="inlineStr">
        <is>
          <t>https://www.su.se/english/divisions/department-of-physics/education/courses-and-programmes/eligibility-application-and-admission</t>
        </is>
      </c>
      <c r="G391" s="4" t="inlineStr"/>
      <c r="H391" s="4" t="inlineStr">
        <is>
          <t>2026-10-21</t>
        </is>
      </c>
    </row>
    <row r="392">
      <c r="A392" s="4" t="inlineStr">
        <is>
          <t>Stony Brook University (SUNY)</t>
        </is>
      </c>
      <c r="B392" s="4" t="inlineStr">
        <is>
          <t>Deadline (2027 entry)</t>
        </is>
      </c>
      <c r="C392" s="4" t="inlineStr">
        <is>
          <t>2026-12-15</t>
        </is>
      </c>
      <c r="D392" s="4" t="inlineStr">
        <is>
          <t>One strict deadline: December 15 (PhD and MSI, Fall). Year inferred.</t>
        </is>
      </c>
      <c r="E392" s="4" t="inlineStr">
        <is>
          <t>PhD and MSI Fall applications have one strict deadline: December 15.</t>
        </is>
      </c>
      <c r="F392" s="4" t="inlineStr">
        <is>
          <t>https://www.stonybrook.edu/physics/graduate/apply.html</t>
        </is>
      </c>
      <c r="G392" s="4" t="inlineStr">
        <is>
          <t>year inferred</t>
        </is>
      </c>
      <c r="H392" s="4" t="inlineStr">
        <is>
          <t>2026-10-21</t>
        </is>
      </c>
    </row>
    <row r="393">
      <c r="A393" s="4" t="inlineStr">
        <is>
          <t>Stony Brook University (SUNY)</t>
        </is>
      </c>
      <c r="B393" s="4" t="inlineStr">
        <is>
          <t>Application fee</t>
        </is>
      </c>
      <c r="C393" s="4" t="inlineStr">
        <is>
          <t>100 USD</t>
        </is>
      </c>
      <c r="D393" s="4" t="inlineStr">
        <is>
          <t>USD 100</t>
        </is>
      </c>
      <c r="E393" s="4" t="inlineStr">
        <is>
          <t>An application fee of $100 is required.</t>
        </is>
      </c>
      <c r="F393" s="4" t="inlineStr">
        <is>
          <t>https://www.stonybrook.edu/physics/graduate/apply.html</t>
        </is>
      </c>
      <c r="G393" s="4" t="inlineStr"/>
      <c r="H393" s="4" t="inlineStr">
        <is>
          <t>2026-10-21</t>
        </is>
      </c>
    </row>
    <row r="394">
      <c r="A394" s="4" t="inlineStr">
        <is>
          <t>Stony Brook University (SUNY)</t>
        </is>
      </c>
      <c r="B394" s="4" t="inlineStr">
        <is>
          <t>Intl fee waiver</t>
        </is>
      </c>
      <c r="C394" s="4" t="inlineStr">
        <is>
          <t>Domestic only</t>
        </is>
      </c>
      <c r="D394" s="4" t="inlineStr">
        <is>
          <t>Graduate School waivers for domestic (US) applicants; a separate department program covers fees for Latin American applicants</t>
        </is>
      </c>
      <c r="E394" s="4" t="inlineStr">
        <is>
          <t>Domestic (US) applicants may be eligible for a waiver – see the eligibility requirements and waiver procedure from the Graduate School.</t>
        </is>
      </c>
      <c r="F394" s="4" t="inlineStr">
        <is>
          <t>https://www.stonybrook.edu/physics/graduate/apply.html</t>
        </is>
      </c>
      <c r="G394" s="4" t="inlineStr"/>
      <c r="H394" s="4" t="inlineStr">
        <is>
          <t>2026-10-21</t>
        </is>
      </c>
    </row>
    <row r="395">
      <c r="A395" s="4" t="inlineStr">
        <is>
          <t>Stony Brook University (SUNY)</t>
        </is>
      </c>
      <c r="B395" s="4" t="inlineStr">
        <is>
          <t>GRE General</t>
        </is>
      </c>
      <c r="C395" s="4" t="inlineStr">
        <is>
          <t>Not considered</t>
        </is>
      </c>
      <c r="D395" s="4" t="inlineStr">
        <is>
          <t>Not required and no longer accepted</t>
        </is>
      </c>
      <c r="E395" s="4" t="inlineStr">
        <is>
          <t>We do not require the general or Physics GRE for any of our programs, and no longer accept these scores.</t>
        </is>
      </c>
      <c r="F395" s="4" t="inlineStr">
        <is>
          <t>https://www.stonybrook.edu/physics/graduate/apply.html</t>
        </is>
      </c>
      <c r="G395" s="4" t="inlineStr"/>
      <c r="H395" s="4" t="inlineStr">
        <is>
          <t>2026-10-21</t>
        </is>
      </c>
    </row>
    <row r="396">
      <c r="A396" s="4" t="inlineStr">
        <is>
          <t>Stony Brook University (SUNY)</t>
        </is>
      </c>
      <c r="B396" s="4" t="inlineStr">
        <is>
          <t>Physics GRE</t>
        </is>
      </c>
      <c r="C396" s="4" t="inlineStr">
        <is>
          <t>Not considered</t>
        </is>
      </c>
      <c r="D396" s="4" t="inlineStr">
        <is>
          <t>Not required and no longer accepted</t>
        </is>
      </c>
      <c r="E396" s="4" t="inlineStr">
        <is>
          <t>We do not require the general or Physics GRE for any of our programs, and no longer accept these scores.</t>
        </is>
      </c>
      <c r="F396" s="4" t="inlineStr">
        <is>
          <t>https://www.stonybrook.edu/physics/graduate/apply.html</t>
        </is>
      </c>
      <c r="G396" s="4" t="inlineStr"/>
      <c r="H396" s="4" t="inlineStr">
        <is>
          <t>2026-10-21</t>
        </is>
      </c>
    </row>
    <row r="397">
      <c r="A397" s="4" t="inlineStr">
        <is>
          <t>Stony Brook University (SUNY)</t>
        </is>
      </c>
      <c r="B397" s="4" t="inlineStr">
        <is>
          <t>TOEFL minimum</t>
        </is>
      </c>
      <c r="C397" s="4" t="inlineStr">
        <is>
          <t>5 (new scale)</t>
        </is>
      </c>
      <c r="D397" s="4" t="inlineStr">
        <is>
          <t>TOEFL 5 overall on the current 1-6 scale for doctoral applicants (from Jan 21, 2026); higher speaking score needed to TA</t>
        </is>
      </c>
      <c r="E397" s="4" t="inlineStr">
        <is>
          <t>Under the TOEFL iBT’s current scoring scale (effective January 21, 2026), the minimum overall score is 5 for doctoral applicants and 4.5 for master’s applicants.</t>
        </is>
      </c>
      <c r="F397" s="4" t="inlineStr">
        <is>
          <t>https://www.stonybrook.edu/physics/graduate/apply.html</t>
        </is>
      </c>
      <c r="G397" s="4" t="inlineStr"/>
      <c r="H397" s="4" t="inlineStr">
        <is>
          <t>2026-10-21</t>
        </is>
      </c>
    </row>
    <row r="398">
      <c r="A398" s="4" t="inlineStr">
        <is>
          <t>Stony Brook University (SUNY)</t>
        </is>
      </c>
      <c r="B398" s="4" t="inlineStr">
        <is>
          <t>English-test waiver (English-medium degree)</t>
        </is>
      </c>
      <c r="C398" s="4" t="inlineStr">
        <is>
          <t>Yes</t>
        </is>
      </c>
      <c r="D398" s="4" t="inlineStr">
        <is>
          <t>Exemption examples include a degree from an English-instruction institution</t>
        </is>
      </c>
      <c r="E398" s="4" t="inlineStr">
        <is>
          <t>Applicants who are not native or primary speakers of English, and don’t otherwise qualify for an exemption (e.g. a degree from an English-instruction institution, US citizenship/National status, or English-instruction TA experience), must submit TOEFL, IELTS, or Gateway English Test scores.</t>
        </is>
      </c>
      <c r="F398" s="4" t="inlineStr">
        <is>
          <t>https://www.stonybrook.edu/physics/graduate/apply.html</t>
        </is>
      </c>
      <c r="G398" s="4" t="inlineStr"/>
      <c r="H398" s="4" t="inlineStr">
        <is>
          <t>2026-10-21</t>
        </is>
      </c>
    </row>
    <row r="399">
      <c r="A399" s="4" t="inlineStr">
        <is>
          <t>Stony Brook University (SUNY)</t>
        </is>
      </c>
      <c r="B399" s="4" t="inlineStr">
        <is>
          <t>Supervisor before admission</t>
        </is>
      </c>
      <c r="C399" s="4" t="inlineStr">
        <is>
          <t>Not stated</t>
        </is>
      </c>
      <c r="D399" s="4" t="inlineStr">
        <is>
          <t>No pre-application supervisor requirement mentioned</t>
        </is>
      </c>
      <c r="E399" s="4" t="inlineStr">
        <is>
          <t>(no statement found)</t>
        </is>
      </c>
      <c r="F399" s="4" t="inlineStr">
        <is>
          <t>https://www.stonybrook.edu/physics/graduate/apply.html</t>
        </is>
      </c>
      <c r="G399" s="4" t="inlineStr"/>
      <c r="H399" s="4" t="inlineStr">
        <is>
          <t>2026-10-21</t>
        </is>
      </c>
    </row>
    <row r="400">
      <c r="A400" s="4" t="inlineStr">
        <is>
          <t>Stony Brook University (SUNY)</t>
        </is>
      </c>
      <c r="B400" s="4" t="inlineStr">
        <is>
          <t>PhD funding</t>
        </is>
      </c>
      <c r="C400" s="4" t="inlineStr">
        <is>
          <t>Guaranteed</t>
        </is>
      </c>
      <c r="D400" s="4" t="inlineStr">
        <is>
          <t>Full support for the duration; 9-month TA stipend USD 30,000 (+8,000 summer TA); RA salary 41,000 (2026)</t>
        </is>
      </c>
      <c r="E400" s="4" t="inlineStr">
        <is>
          <t>PhD students receive full financial support for the duration of their studies. | The current 9-month TA stipend is $30,000, plus an additional $8,000 for a full summer TA position.</t>
        </is>
      </c>
      <c r="F400" s="4" t="inlineStr">
        <is>
          <t>https://www.stonybrook.edu/physics/graduate/apply.html</t>
        </is>
      </c>
      <c r="G400" s="4" t="inlineStr"/>
      <c r="H400" s="4" t="inlineStr">
        <is>
          <t>2026-10-21</t>
        </is>
      </c>
    </row>
    <row r="401">
      <c r="A401" s="4" t="inlineStr">
        <is>
          <t>Stony Brook University (SUNY)</t>
        </is>
      </c>
      <c r="B401" s="4" t="inlineStr">
        <is>
          <t>Entry route</t>
        </is>
      </c>
      <c r="C401" s="4" t="inlineStr">
        <is>
          <t>Not stated</t>
        </is>
      </c>
      <c r="D401" s="4" t="inlineStr">
        <is>
          <t>Not stated on the page checked</t>
        </is>
      </c>
      <c r="E401" s="4" t="inlineStr">
        <is>
          <t>(no statement found)</t>
        </is>
      </c>
      <c r="F401" s="4" t="inlineStr">
        <is>
          <t>https://www.stonybrook.edu/physics/graduate/apply.html</t>
        </is>
      </c>
      <c r="G401" s="4" t="inlineStr"/>
      <c r="H401" s="4" t="inlineStr">
        <is>
          <t>2026-10-21</t>
        </is>
      </c>
    </row>
    <row r="402">
      <c r="A402" s="4" t="inlineStr">
        <is>
          <t>Technical University of Munich (TUM)</t>
        </is>
      </c>
      <c r="B402" s="4" t="inlineStr">
        <is>
          <t>Deadline (2027 entry)</t>
        </is>
      </c>
      <c r="C402" s="4" t="inlineStr">
        <is>
          <t>Per position</t>
        </is>
      </c>
      <c r="D402" s="4" t="inlineStr">
        <is>
          <t>No central application or deadline: apply to advertised research-associate positions (TUM job portal or chair websites) or directly to a potential supervisor</t>
        </is>
      </c>
      <c r="E402" s="4" t="inlineStr">
        <is>
          <t>as the doctorate is highly individualized, there is no central application platform for doctoral programs where you can submit your application documents.</t>
        </is>
      </c>
      <c r="F402" s="4" t="inlineStr">
        <is>
          <t>https://www.gs.tum.de/en/gs/path-to-a-doctorate/application/application-steps/</t>
        </is>
      </c>
      <c r="G402" s="4" t="inlineStr"/>
      <c r="H402" s="4" t="inlineStr">
        <is>
          <t>2026-10-21</t>
        </is>
      </c>
    </row>
    <row r="403">
      <c r="A403" s="4" t="inlineStr">
        <is>
          <t>Technical University of Munich (TUM)</t>
        </is>
      </c>
      <c r="B403" s="4" t="inlineStr">
        <is>
          <t>Application fee</t>
        </is>
      </c>
      <c r="C403" s="4" t="inlineStr">
        <is>
          <t>Not stated</t>
        </is>
      </c>
      <c r="D403" s="4" t="inlineStr">
        <is>
          <t>Not stated on the page checked</t>
        </is>
      </c>
      <c r="E403" s="4" t="inlineStr">
        <is>
          <t>(no statement found)</t>
        </is>
      </c>
      <c r="F403" s="4" t="inlineStr">
        <is>
          <t>https://www.gs.tum.de/en/gs/path-to-a-doctorate/application/application-steps/</t>
        </is>
      </c>
      <c r="G403" s="4" t="inlineStr"/>
      <c r="H403" s="4" t="inlineStr">
        <is>
          <t>2026-10-21</t>
        </is>
      </c>
    </row>
    <row r="404">
      <c r="A404" s="4" t="inlineStr">
        <is>
          <t>Technical University of Munich (TUM)</t>
        </is>
      </c>
      <c r="B404" s="4" t="inlineStr">
        <is>
          <t>Intl fee waiver</t>
        </is>
      </c>
      <c r="C404" s="4" t="inlineStr">
        <is>
          <t>Not stated</t>
        </is>
      </c>
      <c r="D404" s="4" t="inlineStr">
        <is>
          <t>Not stated on the page checked</t>
        </is>
      </c>
      <c r="E404" s="4" t="inlineStr">
        <is>
          <t>(no statement found)</t>
        </is>
      </c>
      <c r="F404" s="4" t="inlineStr">
        <is>
          <t>https://www.gs.tum.de/en/gs/path-to-a-doctorate/application/application-steps/</t>
        </is>
      </c>
      <c r="G404" s="4" t="inlineStr"/>
      <c r="H404" s="4" t="inlineStr">
        <is>
          <t>2026-10-21</t>
        </is>
      </c>
    </row>
    <row r="405">
      <c r="A405" s="4" t="inlineStr">
        <is>
          <t>Technical University of Munich (TUM)</t>
        </is>
      </c>
      <c r="B405" s="4" t="inlineStr">
        <is>
          <t>GRE General</t>
        </is>
      </c>
      <c r="C405" s="4" t="inlineStr">
        <is>
          <t>Not stated</t>
        </is>
      </c>
      <c r="D405" s="4" t="inlineStr">
        <is>
          <t>Not stated on the page checked</t>
        </is>
      </c>
      <c r="E405" s="4" t="inlineStr">
        <is>
          <t>(no statement found)</t>
        </is>
      </c>
      <c r="F405" s="4" t="inlineStr">
        <is>
          <t>https://www.gs.tum.de/en/gs/path-to-a-doctorate/application/requirements/</t>
        </is>
      </c>
      <c r="G405" s="4" t="inlineStr"/>
      <c r="H405" s="4" t="inlineStr">
        <is>
          <t>2026-10-21</t>
        </is>
      </c>
    </row>
    <row r="406">
      <c r="A406" s="4" t="inlineStr">
        <is>
          <t>Technical University of Munich (TUM)</t>
        </is>
      </c>
      <c r="B406" s="4" t="inlineStr">
        <is>
          <t>Physics GRE</t>
        </is>
      </c>
      <c r="C406" s="4" t="inlineStr">
        <is>
          <t>Not stated</t>
        </is>
      </c>
      <c r="D406" s="4" t="inlineStr">
        <is>
          <t>Not stated on the page checked</t>
        </is>
      </c>
      <c r="E406" s="4" t="inlineStr">
        <is>
          <t>(no statement found)</t>
        </is>
      </c>
      <c r="F406" s="4" t="inlineStr">
        <is>
          <t>https://www.gs.tum.de/en/gs/path-to-a-doctorate/application/requirements/</t>
        </is>
      </c>
      <c r="G406" s="4" t="inlineStr"/>
      <c r="H406" s="4" t="inlineStr">
        <is>
          <t>2026-10-21</t>
        </is>
      </c>
    </row>
    <row r="407">
      <c r="A407" s="4" t="inlineStr">
        <is>
          <t>Technical University of Munich (TUM)</t>
        </is>
      </c>
      <c r="B407" s="4" t="inlineStr">
        <is>
          <t>TOEFL minimum</t>
        </is>
      </c>
      <c r="C407" s="4" t="inlineStr">
        <is>
          <t>Not stated</t>
        </is>
      </c>
      <c r="D407" s="4" t="inlineStr">
        <is>
          <t>Usually no prescribed minimum TOEFL/IELTS score; very good English expected</t>
        </is>
      </c>
      <c r="E407" s="4" t="inlineStr">
        <is>
          <t>Although there are usually no prescribed minimum scores in the relevant tests (IELTS, TOEFL, etc.)</t>
        </is>
      </c>
      <c r="F407" s="4" t="inlineStr">
        <is>
          <t>https://www.gs.tum.de/en/gs/path-to-a-doctorate/application/requirements/</t>
        </is>
      </c>
      <c r="G407" s="4" t="inlineStr"/>
      <c r="H407" s="4" t="inlineStr">
        <is>
          <t>2026-10-21</t>
        </is>
      </c>
    </row>
    <row r="408">
      <c r="A408" s="4" t="inlineStr">
        <is>
          <t>Technical University of Munich (TUM)</t>
        </is>
      </c>
      <c r="B408" s="4" t="inlineStr">
        <is>
          <t>English-test waiver (English-medium degree)</t>
        </is>
      </c>
      <c r="C408" s="4" t="inlineStr">
        <is>
          <t>Yes</t>
        </is>
      </c>
      <c r="D408" s="4" t="inlineStr">
        <is>
          <t>No formal language requirement for doctoral admission at TUM level (very good English expected); individual job ads may set their own language requirements</t>
        </is>
      </c>
      <c r="E408" s="4" t="inlineStr">
        <is>
          <t>There are no formal language requirements for doctoral admission and research at TUM. However, a doctorate at TUM requires very good written and spoken English skills.  ||  you match the required qualifications (e.g., academic background) and preconditions (e.g., language requirements) (https://www.gs.tum.de/en/gs/path-to-a-doctorate/application/application-steps/)</t>
        </is>
      </c>
      <c r="F408" s="4" t="inlineStr">
        <is>
          <t>https://www.gs.tum.de/en/gs/path-to-a-doctorate/application/requirements/</t>
        </is>
      </c>
      <c r="G408" s="4" t="inlineStr">
        <is>
          <t>University-wide TUM rule</t>
        </is>
      </c>
      <c r="H408" s="4" t="inlineStr">
        <is>
          <t>2026-10-21</t>
        </is>
      </c>
    </row>
    <row r="409">
      <c r="A409" s="4" t="inlineStr">
        <is>
          <t>Technical University of Munich (TUM)</t>
        </is>
      </c>
      <c r="B409" s="4" t="inlineStr">
        <is>
          <t>Supervisor before admission</t>
        </is>
      </c>
      <c r="C409" s="4" t="inlineStr">
        <is>
          <t>Required</t>
        </is>
      </c>
      <c r="D409" s="4" t="inlineStr">
        <is>
          <t>Finding a TUM supervisor is the first and mandatory step; degree recognition happens only after a professor agrees</t>
        </is>
      </c>
      <c r="E409" s="4" t="inlineStr">
        <is>
          <t>If you have not found a supervisor for your research project, you will unfortunately not be able to do your doctorate at TUM.</t>
        </is>
      </c>
      <c r="F409" s="4" t="inlineStr">
        <is>
          <t>https://www.gs.tum.de/en/gs/path-to-a-doctorate/application/requirements/</t>
        </is>
      </c>
      <c r="G409" s="4" t="inlineStr"/>
      <c r="H409" s="4" t="inlineStr">
        <is>
          <t>2026-10-21</t>
        </is>
      </c>
    </row>
    <row r="410">
      <c r="A410" s="4" t="inlineStr">
        <is>
          <t>Technical University of Munich (TUM)</t>
        </is>
      </c>
      <c r="B410" s="4" t="inlineStr">
        <is>
          <t>PhD funding</t>
        </is>
      </c>
      <c r="C410" s="4" t="inlineStr">
        <is>
          <t>Typical</t>
        </is>
      </c>
      <c r="D410" s="4" t="inlineStr">
        <is>
          <t>The most common route is a salaried research-associate position; self-initiative applicants usually need their own funding (e.g. an external scholarship). No tuition fees</t>
        </is>
      </c>
      <c r="E410" s="4" t="inlineStr">
        <is>
          <t>At TUM, the most common way to do your doctorate is within the framework of employment as research staff at your research group/chair. | self-initiated applications do not automatically imply employment at TUM that comes with a monthly salary; thus, in most cases, you must take care of your funding, e.g., with an external scholarship.</t>
        </is>
      </c>
      <c r="F410" s="4" t="inlineStr">
        <is>
          <t>https://www.gs.tum.de/en/gs/path-to-a-doctorate/application/application-steps/</t>
        </is>
      </c>
      <c r="G410" s="4" t="inlineStr"/>
      <c r="H410" s="4" t="inlineStr">
        <is>
          <t>2026-10-21</t>
        </is>
      </c>
    </row>
    <row r="411">
      <c r="A411" s="4" t="inlineStr">
        <is>
          <t>Technical University of Munich (TUM)</t>
        </is>
      </c>
      <c r="B411" s="4" t="inlineStr">
        <is>
          <t>Entry route</t>
        </is>
      </c>
      <c r="C411" s="4" t="inlineStr">
        <is>
          <t>Master's usually required</t>
        </is>
      </c>
      <c r="D411" s="4" t="inlineStr">
        <is>
          <t>Above-average master's degree required (German grade 2.5 or better); no fast track, so bachelor's-only admission is not possible</t>
        </is>
      </c>
      <c r="E411" s="4" t="inlineStr">
        <is>
          <t>Please note that TUM does not offer “fast-track doctoral programs.” Therefore, admission to a doctoral program with only a Bachelor's degree is not possible. | The prerequisite for a doctorate at TUM is an above-average degree (master's, Diplom or Magister) from a university</t>
        </is>
      </c>
      <c r="F411" s="4" t="inlineStr">
        <is>
          <t>https://www.gs.tum.de/en/gs/path-to-a-doctorate/application/requirements/</t>
        </is>
      </c>
      <c r="G411" s="4" t="inlineStr"/>
      <c r="H411" s="4" t="inlineStr">
        <is>
          <t>2026-10-21</t>
        </is>
      </c>
    </row>
    <row r="412">
      <c r="A412" s="4" t="inlineStr">
        <is>
          <t>Texas A&amp;M University</t>
        </is>
      </c>
      <c r="B412" s="4" t="inlineStr">
        <is>
          <t>Deadline (2027 entry)</t>
        </is>
      </c>
      <c r="C412" s="4" t="inlineStr">
        <is>
          <t>2027-01-10</t>
        </is>
      </c>
      <c r="D412" s="4" t="inlineStr">
        <is>
          <t>January 10, 2027 (later applications accepted but processed after)</t>
        </is>
      </c>
      <c r="E412" s="4" t="inlineStr">
        <is>
          <t>The deadline for the application is January 10, 2027.</t>
        </is>
      </c>
      <c r="F412" s="4" t="inlineStr">
        <is>
          <t>https://artsci.tamu.edu/physics-astronomy/academics/prospective-graduates/faqs.html</t>
        </is>
      </c>
      <c r="G412" s="4" t="inlineStr"/>
      <c r="H412" s="4" t="inlineStr">
        <is>
          <t>2026-10-21</t>
        </is>
      </c>
    </row>
    <row r="413">
      <c r="A413" s="4" t="inlineStr">
        <is>
          <t>Texas A&amp;M University</t>
        </is>
      </c>
      <c r="B413" s="4" t="inlineStr">
        <is>
          <t>Application fee</t>
        </is>
      </c>
      <c r="C413" s="4" t="inlineStr">
        <is>
          <t>114 USD</t>
        </is>
      </c>
      <c r="D413" s="4" t="inlineStr">
        <is>
          <t>USD 114 international (USD 89 domestic)</t>
        </is>
      </c>
      <c r="E413" s="4" t="inlineStr">
        <is>
          <t>The application fee for domestic students is $89, while international students pay $114.</t>
        </is>
      </c>
      <c r="F413" s="4" t="inlineStr">
        <is>
          <t>https://artsci.tamu.edu/physics-astronomy/academics/prospective-graduates/how-to-apply.html</t>
        </is>
      </c>
      <c r="G413" s="4" t="inlineStr"/>
      <c r="H413" s="4" t="inlineStr">
        <is>
          <t>2026-10-21</t>
        </is>
      </c>
    </row>
    <row r="414">
      <c r="A414" s="4" t="inlineStr">
        <is>
          <t>Texas A&amp;M University</t>
        </is>
      </c>
      <c r="B414" s="4" t="inlineStr">
        <is>
          <t>Intl fee waiver</t>
        </is>
      </c>
      <c r="C414" s="4" t="inlineStr">
        <is>
          <t>Domestic only</t>
        </is>
      </c>
      <c r="D414" s="4" t="inlineStr">
        <is>
          <t>Automatic waiver for Pell Grant or McNair recipients (U.S. programs); no international route stated on the pages checked</t>
        </is>
      </c>
      <c r="E414" s="4" t="inlineStr">
        <is>
          <t>If you are the recipient of a Pell Grant or a McNair Scholarship, you automatically qualify for an application fee waiver.</t>
        </is>
      </c>
      <c r="F414" s="4" t="inlineStr">
        <is>
          <t>https://artsci.tamu.edu/physics-astronomy/academics/prospective-graduates/faqs.html</t>
        </is>
      </c>
      <c r="G414" s="4" t="inlineStr"/>
      <c r="H414" s="4" t="inlineStr">
        <is>
          <t>2026-10-21</t>
        </is>
      </c>
    </row>
    <row r="415">
      <c r="A415" s="4" t="inlineStr">
        <is>
          <t>Texas A&amp;M University</t>
        </is>
      </c>
      <c r="B415" s="4" t="inlineStr">
        <is>
          <t>GRE General</t>
        </is>
      </c>
      <c r="C415" s="4" t="inlineStr">
        <is>
          <t>Optional</t>
        </is>
      </c>
      <c r="D415" s="4" t="inlineStr">
        <is>
          <t>Not required; considered if submitted</t>
        </is>
      </c>
      <c r="E415" s="4" t="inlineStr">
        <is>
          <t>General GRE (Verbal, Quantitative, and Analytical Writing) and Subject GRE (Physics) test scores are not required for applications.</t>
        </is>
      </c>
      <c r="F415" s="4" t="inlineStr">
        <is>
          <t>https://artsci.tamu.edu/physics-astronomy/academics/prospective-graduates/how-to-apply.html</t>
        </is>
      </c>
      <c r="G415" s="4" t="inlineStr"/>
      <c r="H415" s="4" t="inlineStr">
        <is>
          <t>2026-10-21</t>
        </is>
      </c>
    </row>
    <row r="416">
      <c r="A416" s="4" t="inlineStr">
        <is>
          <t>Texas A&amp;M University</t>
        </is>
      </c>
      <c r="B416" s="4" t="inlineStr">
        <is>
          <t>Physics GRE</t>
        </is>
      </c>
      <c r="C416" s="4" t="inlineStr">
        <is>
          <t>Optional</t>
        </is>
      </c>
      <c r="D416" s="4" t="inlineStr">
        <is>
          <t>Not required; considered if submitted</t>
        </is>
      </c>
      <c r="E416" s="4" t="inlineStr">
        <is>
          <t>General GRE (Verbal, Quantitative, and Analytical Writing) and Subject GRE (Physics) test scores are not required for applications.</t>
        </is>
      </c>
      <c r="F416" s="4" t="inlineStr">
        <is>
          <t>https://artsci.tamu.edu/physics-astronomy/academics/prospective-graduates/how-to-apply.html</t>
        </is>
      </c>
      <c r="G416" s="4" t="inlineStr"/>
      <c r="H416" s="4" t="inlineStr">
        <is>
          <t>2026-10-21</t>
        </is>
      </c>
    </row>
    <row r="417">
      <c r="A417" s="4" t="inlineStr">
        <is>
          <t>Texas A&amp;M University</t>
        </is>
      </c>
      <c r="B417" s="4" t="inlineStr">
        <is>
          <t>TOEFL minimum</t>
        </is>
      </c>
      <c r="C417" s="4" t="inlineStr">
        <is>
          <t>Not stated</t>
        </is>
      </c>
      <c r="D417" s="4" t="inlineStr">
        <is>
          <t>Cutoffs on the Graduate School ELP page (not checked)</t>
        </is>
      </c>
      <c r="E417" s="4" t="inlineStr">
        <is>
          <t>What is the cutoff score for English Language Proficiency? You can find more information at https://grad.tamu.edu/academics/academic-success-resources/elp.</t>
        </is>
      </c>
      <c r="F417" s="4" t="inlineStr">
        <is>
          <t>https://artsci.tamu.edu/physics-astronomy/academics/prospective-graduates/faqs.html</t>
        </is>
      </c>
      <c r="G417" s="4" t="inlineStr"/>
      <c r="H417" s="4" t="inlineStr">
        <is>
          <t>2026-10-21</t>
        </is>
      </c>
    </row>
    <row r="418">
      <c r="A418" s="4" t="inlineStr">
        <is>
          <t>Texas A&amp;M University</t>
        </is>
      </c>
      <c r="B418" s="4" t="inlineStr">
        <is>
          <t>English-test waiver (English-medium degree)</t>
        </is>
      </c>
      <c r="C418" s="4" t="inlineStr">
        <is>
          <t>Not stated</t>
        </is>
      </c>
      <c r="D418" s="4" t="inlineStr">
        <is>
          <t>Not stated on the pages checked</t>
        </is>
      </c>
      <c r="E418" s="4" t="inlineStr">
        <is>
          <t>(no statement found)</t>
        </is>
      </c>
      <c r="F418" s="4" t="inlineStr">
        <is>
          <t>https://artsci.tamu.edu/physics-astronomy/academics/prospective-graduates/faqs.html</t>
        </is>
      </c>
      <c r="G418" s="4" t="inlineStr"/>
      <c r="H418" s="4" t="inlineStr">
        <is>
          <t>2026-10-21</t>
        </is>
      </c>
    </row>
    <row r="419">
      <c r="A419" s="4" t="inlineStr">
        <is>
          <t>Texas A&amp;M University</t>
        </is>
      </c>
      <c r="B419" s="4" t="inlineStr">
        <is>
          <t>Supervisor before admission</t>
        </is>
      </c>
      <c r="C419" s="4" t="inlineStr">
        <is>
          <t>Not stated</t>
        </is>
      </c>
      <c r="D419" s="4" t="inlineStr">
        <is>
          <t>No pre-application supervisor requirement mentioned</t>
        </is>
      </c>
      <c r="E419" s="4" t="inlineStr">
        <is>
          <t>(no statement found)</t>
        </is>
      </c>
      <c r="F419" s="4" t="inlineStr">
        <is>
          <t>https://artsci.tamu.edu/physics-astronomy/academics/prospective-graduates/how-to-apply.html</t>
        </is>
      </c>
      <c r="G419" s="4" t="inlineStr"/>
      <c r="H419" s="4" t="inlineStr">
        <is>
          <t>2026-10-21</t>
        </is>
      </c>
    </row>
    <row r="420">
      <c r="A420" s="4" t="inlineStr">
        <is>
          <t>Texas A&amp;M University</t>
        </is>
      </c>
      <c r="B420" s="4" t="inlineStr">
        <is>
          <t>PhD funding</t>
        </is>
      </c>
      <c r="C420" s="4" t="inlineStr">
        <is>
          <t>Not stated</t>
        </is>
      </c>
      <c r="D420" s="4" t="inlineStr">
        <is>
          <t>Not stated on the pages checked</t>
        </is>
      </c>
      <c r="E420" s="4" t="inlineStr">
        <is>
          <t>(no statement found)</t>
        </is>
      </c>
      <c r="F420" s="4" t="inlineStr">
        <is>
          <t>https://artsci.tamu.edu/physics-astronomy/academics/prospective-graduates/how-to-apply.html</t>
        </is>
      </c>
      <c r="G420" s="4" t="inlineStr"/>
      <c r="H420" s="4" t="inlineStr">
        <is>
          <t>2026-10-21</t>
        </is>
      </c>
    </row>
    <row r="421">
      <c r="A421" s="4" t="inlineStr">
        <is>
          <t>Texas A&amp;M University</t>
        </is>
      </c>
      <c r="B421" s="4" t="inlineStr">
        <is>
          <t>Entry route</t>
        </is>
      </c>
      <c r="C421" s="4" t="inlineStr">
        <is>
          <t>Not stated</t>
        </is>
      </c>
      <c r="D421" s="4" t="inlineStr">
        <is>
          <t>Not stated on the pages checked</t>
        </is>
      </c>
      <c r="E421" s="4" t="inlineStr">
        <is>
          <t>(no statement found)</t>
        </is>
      </c>
      <c r="F421" s="4" t="inlineStr">
        <is>
          <t>https://artsci.tamu.edu/physics-astronomy/academics/prospective-graduates/how-to-apply.html</t>
        </is>
      </c>
      <c r="G421" s="4" t="inlineStr"/>
      <c r="H421" s="4" t="inlineStr">
        <is>
          <t>2026-10-21</t>
        </is>
      </c>
    </row>
    <row r="422">
      <c r="A422" s="4" t="inlineStr">
        <is>
          <t>The Ohio State University</t>
        </is>
      </c>
      <c r="B422" s="4" t="inlineStr">
        <is>
          <t>Deadline (2027 entry)</t>
        </is>
      </c>
      <c r="C422" s="4" t="inlineStr">
        <is>
          <t>2026-11-30</t>
        </is>
      </c>
      <c r="D422" s="4" t="inlineStr">
        <is>
          <t>Best consideration: November 30 (international) or December 15 (domestic); December 1 for automatic fellowship nomination; late applications until April 14 with much less funding. Years inferred.</t>
        </is>
      </c>
      <c r="E422" s="4" t="inlineStr">
        <is>
          <t>For best consideration, apply by November 30 (international) or December 15 (domestic).</t>
        </is>
      </c>
      <c r="F422" s="4" t="inlineStr">
        <is>
          <t>https://physics.osu.edu/graduate/prospective-students</t>
        </is>
      </c>
      <c r="G422" s="4" t="inlineStr">
        <is>
          <t>year inferred</t>
        </is>
      </c>
      <c r="H422" s="4" t="inlineStr">
        <is>
          <t>2026-10-21</t>
        </is>
      </c>
    </row>
    <row r="423">
      <c r="A423" s="4" t="inlineStr">
        <is>
          <t>The Ohio State University</t>
        </is>
      </c>
      <c r="B423" s="4" t="inlineStr">
        <is>
          <t>Application fee</t>
        </is>
      </c>
      <c r="C423" s="4" t="inlineStr">
        <is>
          <t>70 USD</t>
        </is>
      </c>
      <c r="D423" s="4" t="inlineStr">
        <is>
          <t>USD 70 international (USD 60 U.S.)</t>
        </is>
      </c>
      <c r="E423" s="4" t="inlineStr">
        <is>
          <t>The application fee for the Physics PhD program $60 for U.S. citizens and $70 for international students.</t>
        </is>
      </c>
      <c r="F423" s="4" t="inlineStr">
        <is>
          <t>https://physics.osu.edu/graduate/prospective-students</t>
        </is>
      </c>
      <c r="G423" s="4" t="inlineStr"/>
      <c r="H423" s="4" t="inlineStr">
        <is>
          <t>2026-10-21</t>
        </is>
      </c>
    </row>
    <row r="424">
      <c r="A424" s="4" t="inlineStr">
        <is>
          <t>The Ohio State University</t>
        </is>
      </c>
      <c r="B424" s="4" t="inlineStr">
        <is>
          <t>Intl fee waiver</t>
        </is>
      </c>
      <c r="C424" s="4" t="inlineStr">
        <is>
          <t>Limited</t>
        </is>
      </c>
      <c r="D424" s="4" t="inlineStr">
        <is>
          <t>Extremely limited; same criteria for international and domestic; based on alignment with the department's mission; none for late submissions</t>
        </is>
      </c>
      <c r="E424" s="4" t="inlineStr">
        <is>
          <t>Due to the high volume of requests, fee waivers are extremely limited and are granted only to applicants who demonstrate a strong alignment with the Department of Physics' strategic mission. The criteria and standards for fee waivers are the same for both international and domestic applicants.</t>
        </is>
      </c>
      <c r="F424" s="4" t="inlineStr">
        <is>
          <t>https://physics.osu.edu/graduate/prospective-students</t>
        </is>
      </c>
      <c r="G424" s="4" t="inlineStr"/>
      <c r="H424" s="4" t="inlineStr">
        <is>
          <t>2026-10-21</t>
        </is>
      </c>
    </row>
    <row r="425">
      <c r="A425" s="4" t="inlineStr">
        <is>
          <t>The Ohio State University</t>
        </is>
      </c>
      <c r="B425" s="4" t="inlineStr">
        <is>
          <t>GRE General</t>
        </is>
      </c>
      <c r="C425" s="4" t="inlineStr">
        <is>
          <t>Optional</t>
        </is>
      </c>
      <c r="D425" s="4" t="inlineStr">
        <is>
          <t>Optional; holistic review is blind to whether scores were sent; may be a plus-factor</t>
        </is>
      </c>
      <c r="E425" s="4" t="inlineStr">
        <is>
          <t>General and physics subject GRE scores are optional, with no negative impact on applicants who choose not to submit them.</t>
        </is>
      </c>
      <c r="F425" s="4" t="inlineStr">
        <is>
          <t>https://physics.osu.edu/graduate/prospective-students</t>
        </is>
      </c>
      <c r="G425" s="4" t="inlineStr"/>
      <c r="H425" s="4" t="inlineStr">
        <is>
          <t>2026-10-21</t>
        </is>
      </c>
    </row>
    <row r="426">
      <c r="A426" s="4" t="inlineStr">
        <is>
          <t>The Ohio State University</t>
        </is>
      </c>
      <c r="B426" s="4" t="inlineStr">
        <is>
          <t>Physics GRE</t>
        </is>
      </c>
      <c r="C426" s="4" t="inlineStr">
        <is>
          <t>Optional</t>
        </is>
      </c>
      <c r="D426" s="4" t="inlineStr">
        <is>
          <t>Optional; may be a plus-factor for some research areas after blind initial review</t>
        </is>
      </c>
      <c r="E426" s="4" t="inlineStr">
        <is>
          <t>General and physics subject GRE scores are optional, with no negative impact on applicants who choose not to submit them.</t>
        </is>
      </c>
      <c r="F426" s="4" t="inlineStr">
        <is>
          <t>https://physics.osu.edu/graduate/prospective-students</t>
        </is>
      </c>
      <c r="G426" s="4" t="inlineStr"/>
      <c r="H426" s="4" t="inlineStr">
        <is>
          <t>2026-10-21</t>
        </is>
      </c>
    </row>
    <row r="427">
      <c r="A427" s="4" t="inlineStr">
        <is>
          <t>The Ohio State University</t>
        </is>
      </c>
      <c r="B427" s="4" t="inlineStr">
        <is>
          <t>TOEFL minimum</t>
        </is>
      </c>
      <c r="C427" s="4" t="inlineStr">
        <is>
          <t>Not stated</t>
        </is>
      </c>
      <c r="D427" s="4" t="inlineStr">
        <is>
          <t>Minimum listed on the Graduate School site; TOEFL code 1592; Duolingo and IELTS accepted</t>
        </is>
      </c>
      <c r="E427" s="4" t="inlineStr">
        <is>
          <t>Use ETS institution code 1592 if sending a TOEFL score.</t>
        </is>
      </c>
      <c r="F427" s="4" t="inlineStr">
        <is>
          <t>https://gpadmissions.osu.edu/intl/additional-requirements-to-apply.html</t>
        </is>
      </c>
      <c r="G427" s="4" t="inlineStr"/>
      <c r="H427" s="4" t="inlineStr">
        <is>
          <t>2026-10-21</t>
        </is>
      </c>
    </row>
    <row r="428">
      <c r="A428" s="4" t="inlineStr">
        <is>
          <t>The Ohio State University</t>
        </is>
      </c>
      <c r="B428" s="4" t="inlineStr">
        <is>
          <t>English-test waiver (English-medium degree)</t>
        </is>
      </c>
      <c r="C428" s="4" t="inlineStr">
        <is>
          <t>No</t>
        </is>
      </c>
      <c r="D428" s="4" t="inlineStr">
        <is>
          <t>Exempt only by citizenship of, or a bachelor's from, a listed country; English-taught courses alone do not exempt you</t>
        </is>
      </c>
      <c r="E428" s="4" t="inlineStr">
        <is>
          <t>Note: If your courses were taught in English but you do not meet either of the above exceptions, you are still required to submit proof of English proficiency.</t>
        </is>
      </c>
      <c r="F428" s="4" t="inlineStr">
        <is>
          <t>https://gpadmissions.osu.edu/intl/additional-requirements-to-apply.html</t>
        </is>
      </c>
      <c r="G428" s="4" t="inlineStr"/>
      <c r="H428" s="4" t="inlineStr">
        <is>
          <t>2026-10-21</t>
        </is>
      </c>
    </row>
    <row r="429">
      <c r="A429" s="4" t="inlineStr">
        <is>
          <t>The Ohio State University</t>
        </is>
      </c>
      <c r="B429" s="4" t="inlineStr">
        <is>
          <t>Supervisor before admission</t>
        </is>
      </c>
      <c r="C429" s="4" t="inlineStr">
        <is>
          <t>Not stated</t>
        </is>
      </c>
      <c r="D429" s="4" t="inlineStr">
        <is>
          <t>No pre-application supervisor requirement mentioned</t>
        </is>
      </c>
      <c r="E429" s="4" t="inlineStr">
        <is>
          <t>(no statement found)</t>
        </is>
      </c>
      <c r="F429" s="4" t="inlineStr">
        <is>
          <t>https://physics.osu.edu/graduate/prospective-students</t>
        </is>
      </c>
      <c r="G429" s="4" t="inlineStr"/>
      <c r="H429" s="4" t="inlineStr">
        <is>
          <t>2026-10-21</t>
        </is>
      </c>
    </row>
    <row r="430">
      <c r="A430" s="4" t="inlineStr">
        <is>
          <t>The Ohio State University</t>
        </is>
      </c>
      <c r="B430" s="4" t="inlineStr">
        <is>
          <t>PhD funding</t>
        </is>
      </c>
      <c r="C430" s="4" t="inlineStr">
        <is>
          <t>Typical</t>
        </is>
      </c>
      <c r="D430" s="4" t="inlineStr">
        <is>
          <t>TA/RA appointments include a monthly stipend and full tuition and general-fee waiver; RA stipend equals TA stipend</t>
        </is>
      </c>
      <c r="E430" s="4" t="inlineStr">
        <is>
          <t>These appointments include a monthly stipend and a full waiver of tuition and general fees.</t>
        </is>
      </c>
      <c r="F430" s="4" t="inlineStr">
        <is>
          <t>https://physics.osu.edu/graduate/prospective-students</t>
        </is>
      </c>
      <c r="G430" s="4" t="inlineStr"/>
      <c r="H430" s="4" t="inlineStr">
        <is>
          <t>2026-10-21</t>
        </is>
      </c>
    </row>
    <row r="431">
      <c r="A431" s="4" t="inlineStr">
        <is>
          <t>The Ohio State University</t>
        </is>
      </c>
      <c r="B431" s="4" t="inlineStr">
        <is>
          <t>Entry route</t>
        </is>
      </c>
      <c r="C431" s="4" t="inlineStr">
        <is>
          <t>Direct from bachelor's</t>
        </is>
      </c>
      <c r="D431" s="4" t="inlineStr">
        <is>
          <t>A master's is not required; four-year degree with a 3.0 GPA</t>
        </is>
      </c>
      <c r="E431" s="4" t="inlineStr">
        <is>
          <t>A master's degree is not required for consideration into the PhD program.</t>
        </is>
      </c>
      <c r="F431" s="4" t="inlineStr">
        <is>
          <t>https://physics.osu.edu/graduate/prospective-students</t>
        </is>
      </c>
      <c r="G431" s="4" t="inlineStr"/>
      <c r="H431" s="4" t="inlineStr">
        <is>
          <t>2026-10-21</t>
        </is>
      </c>
    </row>
    <row r="432">
      <c r="A432" s="4" t="inlineStr">
        <is>
          <t>Trinity College Dublin</t>
        </is>
      </c>
      <c r="B432" s="4" t="inlineStr">
        <is>
          <t>Deadline (2027 entry)</t>
        </is>
      </c>
      <c r="C432" s="4" t="inlineStr">
        <is>
          <t>Rolling</t>
        </is>
      </c>
      <c r="D432" s="4" t="inlineStr">
        <is>
          <t>No closing date for research degrees; two registration periods (1 September and 1 March), most start in September. Apply early: supervisory capacity is limited. Funded project adverts set their own deadlines.</t>
        </is>
      </c>
      <c r="E432" s="4" t="inlineStr">
        <is>
          <t>No closing dates apply for application for higher degrees by research but there are only two registration periods (September and March). Applicants are advised to apply as early as possible prior to their chosen registration period as supervisory capacity may be limited.  ||  The School accepts applications from talented and hardworking candidates all year round. (https://www.tcd.ie/physics/study/prospective/postgraduate/how-to-apply/)</t>
        </is>
      </c>
      <c r="F432" s="4" t="inlineStr">
        <is>
          <t>https://www.tcd.ie/courses/postgraduate/closing-dates/</t>
        </is>
      </c>
      <c r="G432" s="4" t="inlineStr"/>
      <c r="H432" s="4" t="inlineStr">
        <is>
          <t>2026-10-21</t>
        </is>
      </c>
    </row>
    <row r="433">
      <c r="A433" s="4" t="inlineStr">
        <is>
          <t>Trinity College Dublin</t>
        </is>
      </c>
      <c r="B433" s="4" t="inlineStr">
        <is>
          <t>Application fee</t>
        </is>
      </c>
      <c r="C433" s="4" t="inlineStr">
        <is>
          <t>Not stated</t>
        </is>
      </c>
      <c r="D433" s="4" t="inlineStr">
        <is>
          <t>A non-refundable application fee is charged; the amount is not stated on the pages checked</t>
        </is>
      </c>
      <c r="E433" s="4" t="inlineStr">
        <is>
          <t>Application fee (non-refundable)</t>
        </is>
      </c>
      <c r="F433" s="4" t="inlineStr">
        <is>
          <t>https://www.tcd.ie/study/apply/making-an-application/postgraduate/</t>
        </is>
      </c>
      <c r="G433" s="4" t="inlineStr"/>
      <c r="H433" s="4" t="inlineStr">
        <is>
          <t>2026-10-21</t>
        </is>
      </c>
    </row>
    <row r="434">
      <c r="A434" s="4" t="inlineStr">
        <is>
          <t>Trinity College Dublin</t>
        </is>
      </c>
      <c r="B434" s="4" t="inlineStr">
        <is>
          <t>Intl fee waiver</t>
        </is>
      </c>
      <c r="C434" s="4" t="inlineStr">
        <is>
          <t>None</t>
        </is>
      </c>
      <c r="D434" s="4" t="inlineStr">
        <is>
          <t>Application fee cannot be waived</t>
        </is>
      </c>
      <c r="E434" s="4" t="inlineStr">
        <is>
          <t>The application fee cannot be waived as this is a mandatory fee required for the submission and assessment of each application.</t>
        </is>
      </c>
      <c r="F434" s="4" t="inlineStr">
        <is>
          <t>https://www.tcd.ie/study/apply/faqs/postgraduate/</t>
        </is>
      </c>
      <c r="G434" s="4" t="inlineStr"/>
      <c r="H434" s="4" t="inlineStr">
        <is>
          <t>2026-10-21</t>
        </is>
      </c>
    </row>
    <row r="435">
      <c r="A435" s="4" t="inlineStr">
        <is>
          <t>Trinity College Dublin</t>
        </is>
      </c>
      <c r="B435" s="4" t="inlineStr">
        <is>
          <t>GRE General</t>
        </is>
      </c>
      <c r="C435" s="4" t="inlineStr">
        <is>
          <t>Not stated</t>
        </is>
      </c>
      <c r="D435" s="4" t="inlineStr">
        <is>
          <t>Not stated on the page checked</t>
        </is>
      </c>
      <c r="E435" s="4" t="inlineStr">
        <is>
          <t>(no statement found)</t>
        </is>
      </c>
      <c r="F435" s="4" t="inlineStr">
        <is>
          <t>https://www.tcd.ie/physics/study/prospective/postgraduate/how-to-apply/</t>
        </is>
      </c>
      <c r="G435" s="4" t="inlineStr"/>
      <c r="H435" s="4" t="inlineStr">
        <is>
          <t>2026-10-21</t>
        </is>
      </c>
    </row>
    <row r="436">
      <c r="A436" s="4" t="inlineStr">
        <is>
          <t>Trinity College Dublin</t>
        </is>
      </c>
      <c r="B436" s="4" t="inlineStr">
        <is>
          <t>Physics GRE</t>
        </is>
      </c>
      <c r="C436" s="4" t="inlineStr">
        <is>
          <t>Not stated</t>
        </is>
      </c>
      <c r="D436" s="4" t="inlineStr">
        <is>
          <t>Not stated on the page checked</t>
        </is>
      </c>
      <c r="E436" s="4" t="inlineStr">
        <is>
          <t>(no statement found)</t>
        </is>
      </c>
      <c r="F436" s="4" t="inlineStr">
        <is>
          <t>https://www.tcd.ie/physics/study/prospective/postgraduate/how-to-apply/</t>
        </is>
      </c>
      <c r="G436" s="4" t="inlineStr"/>
      <c r="H436" s="4" t="inlineStr">
        <is>
          <t>2026-10-21</t>
        </is>
      </c>
    </row>
    <row r="437">
      <c r="A437" s="4" t="inlineStr">
        <is>
          <t>Trinity College Dublin</t>
        </is>
      </c>
      <c r="B437" s="4" t="inlineStr">
        <is>
          <t>TOEFL minimum</t>
        </is>
      </c>
      <c r="C437" s="4" t="inlineStr">
        <is>
          <t>90</t>
        </is>
      </c>
      <c r="D437" s="4" t="inlineStr">
        <is>
          <t>Trinity-wide Band B (standard UG &amp; PG entry): TOEFL iBT 90 overall with 21 in each section (tests before Jan 2026) or 4.5 overall with 4.0 in each section (after Jan 2026); IELTS 6.5 (6.0 each band). The Physics pages do not say which band applies.</t>
        </is>
      </c>
      <c r="E437" s="4" t="inlineStr">
        <is>
          <t>Band B (Standard entry) | UG &amp; PG Standard requirements | TOEFL iBT (Before January 2026) | 90 overall | 21 in each section | TOEFL iBT (After January 2026) | 4.5 overall | 4.0 in each section</t>
        </is>
      </c>
      <c r="F437" s="4" t="inlineStr">
        <is>
          <t>https://www.tcd.ie/study/english-language-requirements/</t>
        </is>
      </c>
      <c r="G437" s="4" t="inlineStr">
        <is>
          <t>University-wide standard band; course-specific band not stated</t>
        </is>
      </c>
      <c r="H437" s="4" t="inlineStr">
        <is>
          <t>2026-10-21</t>
        </is>
      </c>
    </row>
    <row r="438">
      <c r="A438" s="4" t="inlineStr">
        <is>
          <t>Trinity College Dublin</t>
        </is>
      </c>
      <c r="B438" s="4" t="inlineStr">
        <is>
          <t>English-test waiver (English-medium degree)</t>
        </is>
      </c>
      <c r="C438" s="4" t="inlineStr">
        <is>
          <t>Conditional</t>
        </is>
      </c>
      <c r="D438" s="4" t="inlineStr">
        <is>
          <t>PG applicants whose primary degree was taught through English may request an exemption, with a formal letter from the awarding institution stating the degree was delivered wholly in English; the course director must approve, then Admissions considers it</t>
        </is>
      </c>
      <c r="E438" s="4" t="inlineStr">
        <is>
          <t>Applicants for postgraduate courses who have completed a primary degree through the medium of English may request an exemption from the requirement to present an English proficiency qualification. | The applicant must provide a formal document from the awarding institution clearly stating their prior degree was delivered wholly through English. | Exemption requests approved by the course director/coordinator will be considered by the Admissions Team.  ||  you must provide evidence of a minimum of 1-year full time third level education taught and examined solely through English. This will then be reviewed. (https://www.tcd.ie/study/apply/faqs/postgraduate/)</t>
        </is>
      </c>
      <c r="F438" s="4" t="inlineStr">
        <is>
          <t>https://www.tcd.ie/study/english-language-requirements/</t>
        </is>
      </c>
      <c r="G438" s="4" t="inlineStr"/>
      <c r="H438" s="4" t="inlineStr">
        <is>
          <t>2026-10-21</t>
        </is>
      </c>
    </row>
    <row r="439">
      <c r="A439" s="4" t="inlineStr">
        <is>
          <t>Trinity College Dublin</t>
        </is>
      </c>
      <c r="B439" s="4" t="inlineStr">
        <is>
          <t>Supervisor before admission</t>
        </is>
      </c>
      <c r="C439" s="4" t="inlineStr">
        <is>
          <t>Required</t>
        </is>
      </c>
      <c r="D439" s="4" t="inlineStr">
        <is>
          <t>Get a potential supervisor's approval first; the formal application link is sent only after a supervisor offers you a place</t>
        </is>
      </c>
      <c r="E439" s="4" t="inlineStr">
        <is>
          <t>You will need to get approval from a potential supervisor before making a formal application.  ||  Following contact with your potential supervisor/professor, if you are offered a place, you will be given a link to the admissions website through which you will need to make a formal application. (https://www.tcd.ie/courses/postgraduate/postgraduate-research/engineering-mathematics-and-science/school-of-physics/)</t>
        </is>
      </c>
      <c r="F439" s="4" t="inlineStr">
        <is>
          <t>https://www.tcd.ie/physics/study/prospective/postgraduate/</t>
        </is>
      </c>
      <c r="G439" s="4" t="inlineStr"/>
      <c r="H439" s="4" t="inlineStr">
        <is>
          <t>2026-10-21</t>
        </is>
      </c>
    </row>
    <row r="440">
      <c r="A440" s="4" t="inlineStr">
        <is>
          <t>Trinity College Dublin</t>
        </is>
      </c>
      <c r="B440" s="4" t="inlineStr">
        <is>
          <t>PhD funding</t>
        </is>
      </c>
      <c r="C440" s="4" t="inlineStr">
        <is>
          <t>Typical</t>
        </is>
      </c>
      <c r="D440" s="4" t="inlineStr">
        <is>
          <t>Most students are funded (fees + stipend) by national/international bodies, usually tied to specific projects; unfunded applicants must win funding (e.g. IRC, TCD/School studentships, which are extremely competitive). Some funded adverts are restricted to EU/EEA/UK applicants.</t>
        </is>
      </c>
      <c r="E440" s="4" t="inlineStr">
        <is>
          <t>The vast majority of our students are supported by national or international funding bodies, providing both College fees and an annual stipend. | For truly exceptional candidates the School of Physics can provide financial support. These positions are extremely competitive and only a few awards are made every year.  ||  Some projects are associated with grants, perhaps from SFI or the EU, which pay a student's fees and a stipend. Others do not and rely on the student applying for funding. (https://www.tcd.ie/physics/study/prospective/postgraduate/)</t>
        </is>
      </c>
      <c r="F440" s="4" t="inlineStr">
        <is>
          <t>https://www.tcd.ie/physics/study/prospective/postgraduate/how-to-apply/</t>
        </is>
      </c>
      <c r="G440" s="4" t="inlineStr"/>
      <c r="H440" s="4" t="inlineStr">
        <is>
          <t>2026-10-21</t>
        </is>
      </c>
    </row>
    <row r="441">
      <c r="A441" s="4" t="inlineStr">
        <is>
          <t>Trinity College Dublin</t>
        </is>
      </c>
      <c r="B441" s="4" t="inlineStr">
        <is>
          <t>Entry route</t>
        </is>
      </c>
      <c r="C441" s="4" t="inlineStr">
        <is>
          <t>Direct from bachelor's</t>
        </is>
      </c>
      <c r="D441" s="4" t="inlineStr">
        <is>
          <t>Minimum 2.1 honours (bachelor's) degree or equivalent; a first or a master's is an advantage. Students go directly on the PhD register or start on the Masters register and transfer. Equivalence of a 3-year Indian BSc is not stated.</t>
        </is>
      </c>
      <c r="E441" s="4" t="inlineStr">
        <is>
          <t>The minimum entry to our postgraduate program is a 2.1 honors degree from an Irish university or equivalent.  ||  A general minimum requirement for PhD entrants is the applicant must have a Second Class Honours Grade I (a II.1) or higher Bachelors degree (https://www.tcd.ie/physics/study/prospective/postgraduate/)  ||  Research students are placed either directly on the Ph.D. register or on the Masters register. (https://www.tcd.ie/courses/postgraduate/how-to-apply/entry-requirements/)</t>
        </is>
      </c>
      <c r="F441" s="4" t="inlineStr">
        <is>
          <t>https://www.tcd.ie/physics/study/prospective/postgraduate/how-to-apply/</t>
        </is>
      </c>
      <c r="G441" s="4" t="inlineStr"/>
      <c r="H441" s="4" t="inlineStr">
        <is>
          <t>2026-10-21</t>
        </is>
      </c>
    </row>
    <row r="442">
      <c r="A442" s="4" t="inlineStr">
        <is>
          <t>Universities of Bonn and Cologne</t>
        </is>
      </c>
      <c r="B442" s="4" t="inlineStr">
        <is>
          <t>Deadline (2027 entry)</t>
        </is>
      </c>
      <c r="C442" s="4" t="inlineStr">
        <is>
          <t>Rolling</t>
        </is>
      </c>
      <c r="D442" s="4" t="inlineStr">
        <is>
          <t>No PhD deadline: start any time by individual arrangement with a supervisor</t>
        </is>
      </c>
      <c r="E442" s="4" t="inlineStr">
        <is>
          <t>PhD: No deadline (start possible at any time; individual arrangement with the supervisor)</t>
        </is>
      </c>
      <c r="F442" s="4" t="inlineStr">
        <is>
          <t>https://www.uni-bonn.de/de/forschung-lehre/early-career/eine-promotion-planen/spps/bigs-physics-and-astronomy</t>
        </is>
      </c>
      <c r="G442" s="4" t="inlineStr"/>
      <c r="H442" s="4" t="inlineStr">
        <is>
          <t>2026-10-21</t>
        </is>
      </c>
    </row>
    <row r="443">
      <c r="A443" s="4" t="inlineStr">
        <is>
          <t>Universities of Bonn and Cologne</t>
        </is>
      </c>
      <c r="B443" s="4" t="inlineStr">
        <is>
          <t>Application fee</t>
        </is>
      </c>
      <c r="C443" s="4" t="inlineStr">
        <is>
          <t>Not stated</t>
        </is>
      </c>
      <c r="D443" s="4" t="inlineStr">
        <is>
          <t>Not stated on the page checked</t>
        </is>
      </c>
      <c r="E443" s="4" t="inlineStr">
        <is>
          <t>(no statement found)</t>
        </is>
      </c>
      <c r="F443" s="4" t="inlineStr">
        <is>
          <t>https://www.uni-bonn.de/de/forschung-lehre/early-career/eine-promotion-planen/spps/bigs-physics-and-astronomy</t>
        </is>
      </c>
      <c r="G443" s="4" t="inlineStr"/>
      <c r="H443" s="4" t="inlineStr">
        <is>
          <t>2026-10-21</t>
        </is>
      </c>
    </row>
    <row r="444">
      <c r="A444" s="4" t="inlineStr">
        <is>
          <t>Universities of Bonn and Cologne</t>
        </is>
      </c>
      <c r="B444" s="4" t="inlineStr">
        <is>
          <t>Intl fee waiver</t>
        </is>
      </c>
      <c r="C444" s="4" t="inlineStr">
        <is>
          <t>Not stated</t>
        </is>
      </c>
      <c r="D444" s="4" t="inlineStr">
        <is>
          <t>Not stated on the page checked</t>
        </is>
      </c>
      <c r="E444" s="4" t="inlineStr">
        <is>
          <t>(no statement found)</t>
        </is>
      </c>
      <c r="F444" s="4" t="inlineStr">
        <is>
          <t>https://www.uni-bonn.de/de/forschung-lehre/early-career/eine-promotion-planen/spps/bigs-physics-and-astronomy</t>
        </is>
      </c>
      <c r="G444" s="4" t="inlineStr"/>
      <c r="H444" s="4" t="inlineStr">
        <is>
          <t>2026-10-21</t>
        </is>
      </c>
    </row>
    <row r="445">
      <c r="A445" s="4" t="inlineStr">
        <is>
          <t>Universities of Bonn and Cologne</t>
        </is>
      </c>
      <c r="B445" s="4" t="inlineStr">
        <is>
          <t>GRE General</t>
        </is>
      </c>
      <c r="C445" s="4" t="inlineStr">
        <is>
          <t>Not stated</t>
        </is>
      </c>
      <c r="D445" s="4" t="inlineStr">
        <is>
          <t>Not stated</t>
        </is>
      </c>
      <c r="E445" s="4" t="inlineStr">
        <is>
          <t>(no statement found)</t>
        </is>
      </c>
      <c r="F445" s="4" t="inlineStr">
        <is>
          <t>https://www.uni-bonn.de/de/forschung-lehre/early-career/eine-promotion-planen/spps/bigs-physics-and-astronomy</t>
        </is>
      </c>
      <c r="G445" s="4" t="inlineStr"/>
      <c r="H445" s="4" t="inlineStr">
        <is>
          <t>2026-10-21</t>
        </is>
      </c>
    </row>
    <row r="446">
      <c r="A446" s="4" t="inlineStr">
        <is>
          <t>Universities of Bonn and Cologne</t>
        </is>
      </c>
      <c r="B446" s="4" t="inlineStr">
        <is>
          <t>Physics GRE</t>
        </is>
      </c>
      <c r="C446" s="4" t="inlineStr">
        <is>
          <t>Not stated</t>
        </is>
      </c>
      <c r="D446" s="4" t="inlineStr">
        <is>
          <t>Not stated</t>
        </is>
      </c>
      <c r="E446" s="4" t="inlineStr">
        <is>
          <t>(no statement found)</t>
        </is>
      </c>
      <c r="F446" s="4" t="inlineStr">
        <is>
          <t>https://www.uni-bonn.de/de/forschung-lehre/early-career/eine-promotion-planen/spps/bigs-physics-and-astronomy</t>
        </is>
      </c>
      <c r="G446" s="4" t="inlineStr"/>
      <c r="H446" s="4" t="inlineStr">
        <is>
          <t>2026-10-21</t>
        </is>
      </c>
    </row>
    <row r="447">
      <c r="A447" s="4" t="inlineStr">
        <is>
          <t>Universities of Bonn and Cologne</t>
        </is>
      </c>
      <c r="B447" s="4" t="inlineStr">
        <is>
          <t>TOEFL minimum</t>
        </is>
      </c>
      <c r="C447" s="4" t="inlineStr">
        <is>
          <t>Not stated</t>
        </is>
      </c>
      <c r="D447" s="4" t="inlineStr">
        <is>
          <t>Not stated</t>
        </is>
      </c>
      <c r="E447" s="4" t="inlineStr">
        <is>
          <t>(no statement found)</t>
        </is>
      </c>
      <c r="F447" s="4" t="inlineStr">
        <is>
          <t>https://www.uni-bonn.de/de/forschung-lehre/early-career/eine-promotion-planen/spps/bigs-physics-and-astronomy</t>
        </is>
      </c>
      <c r="G447" s="4" t="inlineStr"/>
      <c r="H447" s="4" t="inlineStr">
        <is>
          <t>2026-10-21</t>
        </is>
      </c>
    </row>
    <row r="448">
      <c r="A448" s="4" t="inlineStr">
        <is>
          <t>Universities of Bonn and Cologne</t>
        </is>
      </c>
      <c r="B448" s="4" t="inlineStr">
        <is>
          <t>English-test waiver (English-medium degree)</t>
        </is>
      </c>
      <c r="C448" s="4" t="inlineStr">
        <is>
          <t>Not stated</t>
        </is>
      </c>
      <c r="D448" s="4" t="inlineStr">
        <is>
          <t>Not stated</t>
        </is>
      </c>
      <c r="E448" s="4" t="inlineStr">
        <is>
          <t>(no statement found)</t>
        </is>
      </c>
      <c r="F448" s="4" t="inlineStr">
        <is>
          <t>https://www.uni-bonn.de/de/forschung-lehre/early-career/eine-promotion-planen/spps/bigs-physics-and-astronomy</t>
        </is>
      </c>
      <c r="G448" s="4" t="inlineStr"/>
      <c r="H448" s="4" t="inlineStr">
        <is>
          <t>2026-10-21</t>
        </is>
      </c>
    </row>
    <row r="449">
      <c r="A449" s="4" t="inlineStr">
        <is>
          <t>Universities of Bonn and Cologne</t>
        </is>
      </c>
      <c r="B449" s="4" t="inlineStr">
        <is>
          <t>Supervisor before admission</t>
        </is>
      </c>
      <c r="C449" s="4" t="inlineStr">
        <is>
          <t>Required</t>
        </is>
      </c>
      <c r="D449" s="4" t="inlineStr">
        <is>
          <t>BCGS does not provide PhD positions: find and apply for a PhD position (with a supervisor) at Bonn or Cologne yourself</t>
        </is>
      </c>
      <c r="E449" s="4" t="inlineStr">
        <is>
          <t>Please note that the BCGS does not provide PhD positions. Students who wish to pursue a doctorate are responsible for identifying and applying for a PhD position independently.</t>
        </is>
      </c>
      <c r="F449" s="4" t="inlineStr">
        <is>
          <t>https://www.uni-bonn.de/de/forschung-lehre/early-career/eine-promotion-planen/spps/bigs-physics-and-astronomy</t>
        </is>
      </c>
      <c r="G449" s="4" t="inlineStr"/>
      <c r="H449" s="4" t="inlineStr">
        <is>
          <t>2026-10-21</t>
        </is>
      </c>
    </row>
    <row r="450">
      <c r="A450" s="4" t="inlineStr">
        <is>
          <t>Universities of Bonn and Cologne</t>
        </is>
      </c>
      <c r="B450" s="4" t="inlineStr">
        <is>
          <t>PhD funding</t>
        </is>
      </c>
      <c r="C450" s="4" t="inlineStr">
        <is>
          <t>Not stated</t>
        </is>
      </c>
      <c r="D450" s="4" t="inlineStr">
        <is>
          <t>Funding comes with the PhD position you secure; not stated centrally</t>
        </is>
      </c>
      <c r="E450" s="4" t="inlineStr">
        <is>
          <t>(no statement found)</t>
        </is>
      </c>
      <c r="F450" s="4" t="inlineStr">
        <is>
          <t>https://www.uni-bonn.de/de/forschung-lehre/early-career/eine-promotion-planen/spps/bigs-physics-and-astronomy</t>
        </is>
      </c>
      <c r="G450" s="4" t="inlineStr"/>
      <c r="H450" s="4" t="inlineStr">
        <is>
          <t>2026-10-21</t>
        </is>
      </c>
    </row>
    <row r="451">
      <c r="A451" s="4" t="inlineStr">
        <is>
          <t>Universities of Bonn and Cologne</t>
        </is>
      </c>
      <c r="B451" s="4" t="inlineStr">
        <is>
          <t>Entry route</t>
        </is>
      </c>
      <c r="C451" s="4" t="inlineStr">
        <is>
          <t>Not stated</t>
        </is>
      </c>
      <c r="D451" s="4" t="inlineStr">
        <is>
          <t>PhD route not stated; BCGS also runs a master's for bachelor's holders</t>
        </is>
      </c>
      <c r="E451" s="4" t="inlineStr">
        <is>
          <t>The BCGS offers a master's program in physics and astrophysics, open to students holding a bachelor's degree in physics or a related field.</t>
        </is>
      </c>
      <c r="F451" s="4" t="inlineStr">
        <is>
          <t>https://www.uni-bonn.de/de/forschung-lehre/early-career/eine-promotion-planen/spps/bigs-physics-and-astronomy</t>
        </is>
      </c>
      <c r="G451" s="4" t="inlineStr"/>
      <c r="H451" s="4" t="inlineStr">
        <is>
          <t>2026-10-21</t>
        </is>
      </c>
    </row>
    <row r="452">
      <c r="A452" s="4" t="inlineStr">
        <is>
          <t>University of Alberta</t>
        </is>
      </c>
      <c r="B452" s="4" t="inlineStr">
        <is>
          <t>Deadline (2027 entry)</t>
        </is>
      </c>
      <c r="C452" s="4" t="inlineStr">
        <is>
          <t>2026-12-01</t>
        </is>
      </c>
      <c r="D452" s="4" t="inlineStr">
        <is>
          <t>December 1 first-round deadline (widest scholarship consideration); January 8 second round; March 31 final date for Fall intake. Years inferred for Fall 2027.</t>
        </is>
      </c>
      <c r="E452" s="4" t="inlineStr">
        <is>
          <t>December 1: initial first round application deadline. Applications that are received and complete by this date will be considered for the widest range of scholarships, as well as the standard graduate assistantships. | March 31 is the last date to submit an application for graduate admission in Physics for the Fall intake.</t>
        </is>
      </c>
      <c r="F452" s="4" t="inlineStr">
        <is>
          <t>https://www.ualberta.ca/en/physics/graduate-studies/information-for-prospective-students-and-applicants/deadlines.html</t>
        </is>
      </c>
      <c r="G452" s="4" t="inlineStr">
        <is>
          <t>year inferred</t>
        </is>
      </c>
      <c r="H452" s="4" t="inlineStr">
        <is>
          <t>2026-10-21</t>
        </is>
      </c>
    </row>
    <row r="453">
      <c r="A453" s="4" t="inlineStr">
        <is>
          <t>University of Alberta</t>
        </is>
      </c>
      <c r="B453" s="4" t="inlineStr">
        <is>
          <t>Application fee</t>
        </is>
      </c>
      <c r="C453" s="4" t="inlineStr">
        <is>
          <t>Not stated</t>
        </is>
      </c>
      <c r="D453" s="4" t="inlineStr">
        <is>
          <t>Fee amount not shown on the department pages checked (pay in the FGPS portal)</t>
        </is>
      </c>
      <c r="E453" s="4" t="inlineStr">
        <is>
          <t>(no statement found)</t>
        </is>
      </c>
      <c r="F453" s="4" t="inlineStr">
        <is>
          <t>https://www.ualberta.ca/en/graduate-studies/admissions-programs/apply/index.html</t>
        </is>
      </c>
      <c r="G453" s="4" t="inlineStr"/>
      <c r="H453" s="4" t="inlineStr">
        <is>
          <t>2026-10-21</t>
        </is>
      </c>
    </row>
    <row r="454">
      <c r="A454" s="4" t="inlineStr">
        <is>
          <t>University of Alberta</t>
        </is>
      </c>
      <c r="B454" s="4" t="inlineStr">
        <is>
          <t>Intl fee waiver</t>
        </is>
      </c>
      <c r="C454" s="4" t="inlineStr">
        <is>
          <t>None</t>
        </is>
      </c>
      <c r="D454" s="4" t="inlineStr">
        <is>
          <t>Department says the fee cannot be waived</t>
        </is>
      </c>
      <c r="E454" s="4" t="inlineStr">
        <is>
          <t>Will you waive the application fee? No. The fee is required, it cannot be waived.</t>
        </is>
      </c>
      <c r="F454" s="4" t="inlineStr">
        <is>
          <t>https://www.ualberta.ca/en/physics/graduate-studies/information-for-prospective-students-and-applicants/how-to-apply-faq.html</t>
        </is>
      </c>
      <c r="G454" s="4" t="inlineStr"/>
      <c r="H454" s="4" t="inlineStr">
        <is>
          <t>2026-10-21</t>
        </is>
      </c>
    </row>
    <row r="455">
      <c r="A455" s="4" t="inlineStr">
        <is>
          <t>University of Alberta</t>
        </is>
      </c>
      <c r="B455" s="4" t="inlineStr">
        <is>
          <t>GRE General</t>
        </is>
      </c>
      <c r="C455" s="4" t="inlineStr">
        <is>
          <t>Not stated</t>
        </is>
      </c>
      <c r="D455" s="4" t="inlineStr">
        <is>
          <t>No GRE requirement listed for Physics on the pages checked</t>
        </is>
      </c>
      <c r="E455" s="4" t="inlineStr">
        <is>
          <t>(no statement found)</t>
        </is>
      </c>
      <c r="F455" s="4" t="inlineStr">
        <is>
          <t>https://www.ualberta.ca/en/physics/graduate-studies/information-for-prospective-students-and-applicants/admission-requirements.html</t>
        </is>
      </c>
      <c r="G455" s="4" t="inlineStr"/>
      <c r="H455" s="4" t="inlineStr">
        <is>
          <t>2026-10-21</t>
        </is>
      </c>
    </row>
    <row r="456">
      <c r="A456" s="4" t="inlineStr">
        <is>
          <t>University of Alberta</t>
        </is>
      </c>
      <c r="B456" s="4" t="inlineStr">
        <is>
          <t>Physics GRE</t>
        </is>
      </c>
      <c r="C456" s="4" t="inlineStr">
        <is>
          <t>Not stated</t>
        </is>
      </c>
      <c r="D456" s="4" t="inlineStr">
        <is>
          <t>No GRE requirement listed for Physics on the pages checked</t>
        </is>
      </c>
      <c r="E456" s="4" t="inlineStr">
        <is>
          <t>(no statement found)</t>
        </is>
      </c>
      <c r="F456" s="4" t="inlineStr">
        <is>
          <t>https://www.ualberta.ca/en/physics/graduate-studies/information-for-prospective-students-and-applicants/admission-requirements.html</t>
        </is>
      </c>
      <c r="G456" s="4" t="inlineStr"/>
      <c r="H456" s="4" t="inlineStr">
        <is>
          <t>2026-10-21</t>
        </is>
      </c>
    </row>
    <row r="457">
      <c r="A457" s="4" t="inlineStr">
        <is>
          <t>University of Alberta</t>
        </is>
      </c>
      <c r="B457" s="4" t="inlineStr">
        <is>
          <t>TOEFL minimum</t>
        </is>
      </c>
      <c r="C457" s="4" t="inlineStr">
        <is>
          <t>90</t>
        </is>
      </c>
      <c r="D457" s="4" t="inlineStr">
        <is>
          <t>TOEFL iBT 90 with 21+ on each component; IELTS 6.5 overall with 6.0+ on each band. For tests on/after Jan 21, 2026 only the 1-6 TOEFL scale is considered.</t>
        </is>
      </c>
      <c r="E457" s="4" t="inlineStr">
        <is>
          <t>TOEFL (internet) - 90 overall with a min. of 21 on each component | IELTS (Academic) - 6.5 overall with a min. of 6.0 on each band</t>
        </is>
      </c>
      <c r="F457" s="4" t="inlineStr">
        <is>
          <t>https://www.ualberta.ca/en/physics/graduate-studies/information-for-prospective-students-and-applicants/admission-requirements.html</t>
        </is>
      </c>
      <c r="G457" s="4" t="inlineStr"/>
      <c r="H457" s="4" t="inlineStr">
        <is>
          <t>2026-10-21</t>
        </is>
      </c>
    </row>
    <row r="458">
      <c r="A458" s="4" t="inlineStr">
        <is>
          <t>University of Alberta</t>
        </is>
      </c>
      <c r="B458" s="4" t="inlineStr">
        <is>
          <t>English-test waiver (English-medium degree)</t>
        </is>
      </c>
      <c r="C458" s="4" t="inlineStr">
        <is>
          <t>Conditional</t>
        </is>
      </c>
      <c r="D458" s="4" t="inlineStr">
        <is>
          <t>Exempt only if your country or institution is on the FGPS recognized list. For India it lists e.g. IITs (all campuses), IISc, University of Hyderabad, Jadavpur, NIT Calicut; IISERs are NOT listed. Physics will not waive otherwise.</t>
        </is>
      </c>
      <c r="E458" s="4" t="inlineStr">
        <is>
          <t>India | Aligarh Muslim University | ... | Indian Institute of Science | Indian Institute of Technology (All campuses) | ... | University of Hyderabad  ||  The Department of Physics will not waive the English language proficiency requirement. (https://www.ualberta.ca/en/physics/graduate-studies/information-for-prospective-students-and-applicants/admission-requirements.html)</t>
        </is>
      </c>
      <c r="F458" s="4" t="inlineStr">
        <is>
          <t>https://www.ualberta.ca/en/graduate-studies/admissions-programs/apply/international-academic-requirements/english-language-proficiency/recognized-english-countries-institutions.html</t>
        </is>
      </c>
      <c r="G458" s="4" t="inlineStr"/>
      <c r="H458" s="4" t="inlineStr">
        <is>
          <t>2026-10-21</t>
        </is>
      </c>
    </row>
    <row r="459">
      <c r="A459" s="4" t="inlineStr">
        <is>
          <t>University of Alberta</t>
        </is>
      </c>
      <c r="B459" s="4" t="inlineStr">
        <is>
          <t>Supervisor before admission</t>
        </is>
      </c>
      <c r="C459" s="4" t="inlineStr">
        <is>
          <t>Not stated</t>
        </is>
      </c>
      <c r="D459" s="4" t="inlineStr">
        <is>
          <t>Physics pages do not state a pre-application supervisor requirement; FGPS notes some thesis programs require one</t>
        </is>
      </c>
      <c r="E459" s="4" t="inlineStr">
        <is>
          <t>If you are applying for a thesis-based program, please note that some programs require you to identify and contact a potential supervisor before applying.</t>
        </is>
      </c>
      <c r="F459" s="4" t="inlineStr">
        <is>
          <t>https://www.ualberta.ca/en/graduate-studies/admissions-programs/apply/index.html</t>
        </is>
      </c>
      <c r="G459" s="4" t="inlineStr"/>
      <c r="H459" s="4" t="inlineStr">
        <is>
          <t>2026-10-21</t>
        </is>
      </c>
    </row>
    <row r="460">
      <c r="A460" s="4" t="inlineStr">
        <is>
          <t>University of Alberta</t>
        </is>
      </c>
      <c r="B460" s="4" t="inlineStr">
        <is>
          <t>PhD funding</t>
        </is>
      </c>
      <c r="C460" s="4" t="inlineStr">
        <is>
          <t>Guaranteed</t>
        </is>
      </c>
      <c r="D460" s="4" t="inlineStr">
        <is>
          <t>Minimum CAD 100,000 over years 1-4 and at least CAD 25,000 in year 1 for PhD students (from Fall 2025); department also commits support for normal program duration</t>
        </is>
      </c>
      <c r="E460" s="4" t="inlineStr">
        <is>
          <t>minimum guaranteed funding of $100K CAD over four years and not less than $25K CAD in their first year.</t>
        </is>
      </c>
      <c r="F460" s="4" t="inlineStr">
        <is>
          <t>https://www.ualberta.ca/en/graduate-studies/fees-funding/scholarships-awards/minimum-guaranteed-funding-for-phd-students.html</t>
        </is>
      </c>
      <c r="G460" s="4" t="inlineStr"/>
      <c r="H460" s="4" t="inlineStr">
        <is>
          <t>2026-10-21</t>
        </is>
      </c>
    </row>
    <row r="461">
      <c r="A461" s="4" t="inlineStr">
        <is>
          <t>University of Alberta</t>
        </is>
      </c>
      <c r="B461" s="4" t="inlineStr">
        <is>
          <t>Entry route</t>
        </is>
      </c>
      <c r="C461" s="4" t="inlineStr">
        <is>
          <t>Either</t>
        </is>
      </c>
      <c r="D461" s="4" t="inlineStr">
        <is>
          <t>MSc-equivalent holders normally enter the PhD directly; Honours-BSc entrants to the PhD take extra MSc-level requirements; BSc holders normally start in the MSc and may transfer</t>
        </is>
      </c>
      <c r="E461" s="4" t="inlineStr">
        <is>
          <t>Students who hold a Master of Science degree equivalent to that of a MSc from University of Alberta are normally admitted directly into the PhD program. | Students entering the PhD program with the equivalent of an Honours BSc degree in Physics from University of Alberta are subject to the same requirements plus those of the MSc program</t>
        </is>
      </c>
      <c r="F461" s="4" t="inlineStr">
        <is>
          <t>https://www.ualberta.ca/en/physics/graduate-studies/information-for-prospective-students-and-applicants/programs.html</t>
        </is>
      </c>
      <c r="G461" s="4" t="inlineStr"/>
      <c r="H461" s="4" t="inlineStr">
        <is>
          <t>2026-10-21</t>
        </is>
      </c>
    </row>
    <row r="462">
      <c r="A462" s="4" t="inlineStr">
        <is>
          <t>University of Amsterdam</t>
        </is>
      </c>
      <c r="B462" s="4" t="inlineStr">
        <is>
          <t>Deadline (2027 entry)</t>
        </is>
      </c>
      <c r="C462" s="4" t="inlineStr">
        <is>
          <t>Per position</t>
        </is>
      </c>
      <c r="D462" s="4" t="inlineStr">
        <is>
          <t>No central deadline: apply to an advertised vacancy (each has its own deadline) or send an open application to a research school or supervisor</t>
        </is>
      </c>
      <c r="E462" s="4" t="inlineStr">
        <is>
          <t>There are several ways to obtain a PhD position. You can apply for a vacancy or submit an open application.</t>
        </is>
      </c>
      <c r="F462" s="4" t="inlineStr">
        <is>
          <t>https://www.uva.nl/en/research/phd/how-do-i-find-a-phd-position/how-do-i-find-a-phd-position.html</t>
        </is>
      </c>
      <c r="G462" s="4" t="inlineStr"/>
      <c r="H462" s="4" t="inlineStr">
        <is>
          <t>2026-10-21</t>
        </is>
      </c>
    </row>
    <row r="463">
      <c r="A463" s="4" t="inlineStr">
        <is>
          <t>University of Amsterdam</t>
        </is>
      </c>
      <c r="B463" s="4" t="inlineStr">
        <is>
          <t>Application fee</t>
        </is>
      </c>
      <c r="C463" s="4" t="inlineStr">
        <is>
          <t>Not stated</t>
        </is>
      </c>
      <c r="D463" s="4" t="inlineStr">
        <is>
          <t>Not stated on the page checked</t>
        </is>
      </c>
      <c r="E463" s="4" t="inlineStr">
        <is>
          <t>(no statement found)</t>
        </is>
      </c>
      <c r="F463" s="4" t="inlineStr">
        <is>
          <t>https://www.uva.nl/en/research/phd/admission-to-a-doctoral-programme/admission-to-a-doctoral-programme.html</t>
        </is>
      </c>
      <c r="G463" s="4" t="inlineStr"/>
      <c r="H463" s="4" t="inlineStr">
        <is>
          <t>2026-10-21</t>
        </is>
      </c>
    </row>
    <row r="464">
      <c r="A464" s="4" t="inlineStr">
        <is>
          <t>University of Amsterdam</t>
        </is>
      </c>
      <c r="B464" s="4" t="inlineStr">
        <is>
          <t>Intl fee waiver</t>
        </is>
      </c>
      <c r="C464" s="4" t="inlineStr">
        <is>
          <t>Not stated</t>
        </is>
      </c>
      <c r="D464" s="4" t="inlineStr">
        <is>
          <t>Not stated on the page checked</t>
        </is>
      </c>
      <c r="E464" s="4" t="inlineStr">
        <is>
          <t>(no statement found)</t>
        </is>
      </c>
      <c r="F464" s="4" t="inlineStr">
        <is>
          <t>https://www.uva.nl/en/research/phd/admission-to-a-doctoral-programme/admission-to-a-doctoral-programme.html</t>
        </is>
      </c>
      <c r="G464" s="4" t="inlineStr"/>
      <c r="H464" s="4" t="inlineStr">
        <is>
          <t>2026-10-21</t>
        </is>
      </c>
    </row>
    <row r="465">
      <c r="A465" s="4" t="inlineStr">
        <is>
          <t>University of Amsterdam</t>
        </is>
      </c>
      <c r="B465" s="4" t="inlineStr">
        <is>
          <t>GRE General</t>
        </is>
      </c>
      <c r="C465" s="4" t="inlineStr">
        <is>
          <t>Not stated</t>
        </is>
      </c>
      <c r="D465" s="4" t="inlineStr">
        <is>
          <t>Not stated on the page checked</t>
        </is>
      </c>
      <c r="E465" s="4" t="inlineStr">
        <is>
          <t>(no statement found)</t>
        </is>
      </c>
      <c r="F465" s="4" t="inlineStr">
        <is>
          <t>https://www.uva.nl/en/research/phd/admission-to-a-doctoral-programme/admission-to-a-doctoral-programme.html</t>
        </is>
      </c>
      <c r="G465" s="4" t="inlineStr"/>
      <c r="H465" s="4" t="inlineStr">
        <is>
          <t>2026-10-21</t>
        </is>
      </c>
    </row>
    <row r="466">
      <c r="A466" s="4" t="inlineStr">
        <is>
          <t>University of Amsterdam</t>
        </is>
      </c>
      <c r="B466" s="4" t="inlineStr">
        <is>
          <t>Physics GRE</t>
        </is>
      </c>
      <c r="C466" s="4" t="inlineStr">
        <is>
          <t>Not stated</t>
        </is>
      </c>
      <c r="D466" s="4" t="inlineStr">
        <is>
          <t>Not stated on the page checked</t>
        </is>
      </c>
      <c r="E466" s="4" t="inlineStr">
        <is>
          <t>(no statement found)</t>
        </is>
      </c>
      <c r="F466" s="4" t="inlineStr">
        <is>
          <t>https://www.uva.nl/en/research/phd/admission-to-a-doctoral-programme/admission-to-a-doctoral-programme.html</t>
        </is>
      </c>
      <c r="G466" s="4" t="inlineStr"/>
      <c r="H466" s="4" t="inlineStr">
        <is>
          <t>2026-10-21</t>
        </is>
      </c>
    </row>
    <row r="467">
      <c r="A467" s="4" t="inlineStr">
        <is>
          <t>University of Amsterdam</t>
        </is>
      </c>
      <c r="B467" s="4" t="inlineStr">
        <is>
          <t>TOEFL minimum</t>
        </is>
      </c>
      <c r="C467" s="4" t="inlineStr">
        <is>
          <t>Not stated</t>
        </is>
      </c>
      <c r="D467" s="4" t="inlineStr">
        <is>
          <t>No test minimum stated on the page checked</t>
        </is>
      </c>
      <c r="E467" s="4" t="inlineStr">
        <is>
          <t>(no statement found)</t>
        </is>
      </c>
      <c r="F467" s="4" t="inlineStr">
        <is>
          <t>https://www.uva.nl/en/research/phd/admission-to-a-doctoral-programme/admission-to-a-doctoral-programme.html</t>
        </is>
      </c>
      <c r="G467" s="4" t="inlineStr"/>
      <c r="H467" s="4" t="inlineStr">
        <is>
          <t>2026-10-21</t>
        </is>
      </c>
    </row>
    <row r="468">
      <c r="A468" s="4" t="inlineStr">
        <is>
          <t>University of Amsterdam</t>
        </is>
      </c>
      <c r="B468" s="4" t="inlineStr">
        <is>
          <t>English-test waiver (English-medium degree)</t>
        </is>
      </c>
      <c r="C468" s="4" t="inlineStr">
        <is>
          <t>Not stated</t>
        </is>
      </c>
      <c r="D468" s="4" t="inlineStr">
        <is>
          <t>Not stated on the page checked</t>
        </is>
      </c>
      <c r="E468" s="4" t="inlineStr">
        <is>
          <t>(no statement found)</t>
        </is>
      </c>
      <c r="F468" s="4" t="inlineStr">
        <is>
          <t>https://www.uva.nl/en/research/phd/admission-to-a-doctoral-programme/admission-to-a-doctoral-programme.html</t>
        </is>
      </c>
      <c r="G468" s="4" t="inlineStr"/>
      <c r="H468" s="4" t="inlineStr">
        <is>
          <t>2026-10-21</t>
        </is>
      </c>
    </row>
    <row r="469">
      <c r="A469" s="4" t="inlineStr">
        <is>
          <t>University of Amsterdam</t>
        </is>
      </c>
      <c r="B469" s="4" t="inlineStr">
        <is>
          <t>Supervisor before admission</t>
        </is>
      </c>
      <c r="C469" s="4" t="inlineStr">
        <is>
          <t>Required</t>
        </is>
      </c>
      <c r="D469" s="4" t="inlineStr">
        <is>
          <t>An authorised supervisor (with the right to award doctorates) must agree to accept you; a second supervisor is always appointed</t>
        </is>
      </c>
      <c r="E469" s="4" t="inlineStr">
        <is>
          <t>You can only pursue a PhD at the UvA once an authorised supervisor has agreed to accept you as a PhD candidate. | In addition to the principal supervisor, a second supervisor must always be appointed.</t>
        </is>
      </c>
      <c r="F469" s="4" t="inlineStr">
        <is>
          <t>https://www.uva.nl/en/research/phd/admission-to-a-doctoral-programme/admission-to-a-doctoral-programme.html</t>
        </is>
      </c>
      <c r="G469" s="4" t="inlineStr"/>
      <c r="H469" s="4" t="inlineStr">
        <is>
          <t>2026-10-21</t>
        </is>
      </c>
    </row>
    <row r="470">
      <c r="A470" s="4" t="inlineStr">
        <is>
          <t>University of Amsterdam</t>
        </is>
      </c>
      <c r="B470" s="4" t="inlineStr">
        <is>
          <t>PhD funding</t>
        </is>
      </c>
      <c r="C470" s="4" t="inlineStr">
        <is>
          <t>Typical</t>
        </is>
      </c>
      <c r="D470" s="4" t="inlineStr">
        <is>
          <t>Vacancy positions are salaried UvA employment; an open application may come without UvA funding, in which case you need a grant, scholarship, employer or your own money</t>
        </is>
      </c>
      <c r="E470" s="4" t="inlineStr">
        <is>
          <t>Option 1: Apply for a vacancy | If you are selected, you will be employed by the UvA and receive a salary. | If your application is successful, you may in some cases be employed by the UvA. In other cases, you may not receive funding from the UvA.</t>
        </is>
      </c>
      <c r="F470" s="4" t="inlineStr">
        <is>
          <t>https://www.uva.nl/en/research/phd/how-do-i-find-a-phd-position/how-do-i-find-a-phd-position.html</t>
        </is>
      </c>
      <c r="G470" s="4" t="inlineStr"/>
      <c r="H470" s="4" t="inlineStr">
        <is>
          <t>2026-10-21</t>
        </is>
      </c>
    </row>
    <row r="471">
      <c r="A471" s="4" t="inlineStr">
        <is>
          <t>University of Amsterdam</t>
        </is>
      </c>
      <c r="B471" s="4" t="inlineStr">
        <is>
          <t>Entry route</t>
        </is>
      </c>
      <c r="C471" s="4" t="inlineStr">
        <is>
          <t>Master's usually required</t>
        </is>
      </c>
      <c r="D471" s="4" t="inlineStr">
        <is>
          <t>A recognised Dutch master's degree or a comparable foreign qualification; the Doctorate Board assesses foreign degrees, and not every foreign master's is enough</t>
        </is>
      </c>
      <c r="E471" s="4" t="inlineStr">
        <is>
          <t>You meet the degree requirement if you hold a recognised and accredited Dutch Master’s degree or a comparable foreign qualification. | Not every foreign Master’s programme is sufficient for admission.</t>
        </is>
      </c>
      <c r="F471" s="4" t="inlineStr">
        <is>
          <t>https://www.uva.nl/en/research/phd/admission-to-a-doctoral-programme/admission-to-a-doctoral-programme.html</t>
        </is>
      </c>
      <c r="G471" s="4" t="inlineStr"/>
      <c r="H471" s="4" t="inlineStr">
        <is>
          <t>2026-10-21</t>
        </is>
      </c>
    </row>
    <row r="472">
      <c r="A472" s="4" t="inlineStr">
        <is>
          <t>University of Arizona</t>
        </is>
      </c>
      <c r="B472" s="4" t="inlineStr">
        <is>
          <t>Deadline (2027 entry)</t>
        </is>
      </c>
      <c r="C472" s="4" t="inlineStr">
        <is>
          <t>2026-12-01</t>
        </is>
      </c>
      <c r="D472" s="4" t="inlineStr">
        <is>
          <t>December 1, 2026 (applications open October 1, 2026); FAQ says later applications are often still considered</t>
        </is>
      </c>
      <c r="E472" s="4" t="inlineStr">
        <is>
          <t>Applications for the PhD Program Open October 1, 2026 | Due date for applications: December 1, 2026  ||  we try to remain flexible about these deadlines and will often consider applications which arrive later. (https://physics.arizona.edu/graduate-studies/frequently-asked-questions)</t>
        </is>
      </c>
      <c r="F472" s="4" t="inlineStr">
        <is>
          <t>https://physics.arizona.edu/graduate-studies/apply-programs/phd-application-procedure</t>
        </is>
      </c>
      <c r="G472" s="4" t="inlineStr"/>
      <c r="H472" s="4" t="inlineStr">
        <is>
          <t>2026-10-21</t>
        </is>
      </c>
    </row>
    <row r="473">
      <c r="A473" s="4" t="inlineStr">
        <is>
          <t>University of Arizona</t>
        </is>
      </c>
      <c r="B473" s="4" t="inlineStr">
        <is>
          <t>Application fee</t>
        </is>
      </c>
      <c r="C473" s="4" t="inlineStr">
        <is>
          <t>90 USD</t>
        </is>
      </c>
      <c r="D473" s="4" t="inlineStr">
        <is>
          <t>USD 90 non-refundable processing fee for all applicants</t>
        </is>
      </c>
      <c r="E473" s="4" t="inlineStr">
        <is>
          <t>A $90 non-refundable processing fee is required for all applications.</t>
        </is>
      </c>
      <c r="F473" s="4" t="inlineStr">
        <is>
          <t>https://physics.arizona.edu/graduate-studies/apply-programs/phd-application-procedure</t>
        </is>
      </c>
      <c r="G473" s="4" t="inlineStr"/>
      <c r="H473" s="4" t="inlineStr">
        <is>
          <t>2026-10-21</t>
        </is>
      </c>
    </row>
    <row r="474">
      <c r="A474" s="4" t="inlineStr">
        <is>
          <t>University of Arizona</t>
        </is>
      </c>
      <c r="B474" s="4" t="inlineStr">
        <is>
          <t>Intl fee waiver</t>
        </is>
      </c>
      <c r="C474" s="4" t="inlineStr">
        <is>
          <t>Limited</t>
        </is>
      </c>
      <c r="D474" s="4" t="inlineStr">
        <is>
          <t>Waivers for participants of listed sponsored programs (mostly U.S. schemes such as McNair, TRIO, GEM; list also includes Latin American summer/winter research programs) and need-based waivers on request to the program coordinator with evidence such as U.S. federal grants (Pell); no explicit statement on international eligibility</t>
        </is>
      </c>
      <c r="E474" s="4" t="inlineStr">
        <is>
          <t>If you are a participant of one of the sponsored programs in this link, you may be eligible for a fee waiver by submitting a verification letter. | To inquire about need-based application fee waiver, contact the graduate program coordinator with evidence such as previously received need-based federal grants (for example Pell grants).  ||  This webform is utilized to submit a verification letter to confirm the participation of an applicant in one of the sponsored programs that is approved for an application fee waiver. (https://webforms.grad.arizona.edu/gradapp-application-fee-waiver-verification)</t>
        </is>
      </c>
      <c r="F474" s="4" t="inlineStr">
        <is>
          <t>https://physics.arizona.edu/graduate-studies/apply-programs/phd-application-procedure</t>
        </is>
      </c>
      <c r="G474" s="4" t="inlineStr"/>
      <c r="H474" s="4" t="inlineStr">
        <is>
          <t>2026-10-21</t>
        </is>
      </c>
    </row>
    <row r="475">
      <c r="A475" s="4" t="inlineStr">
        <is>
          <t>University of Arizona</t>
        </is>
      </c>
      <c r="B475" s="4" t="inlineStr">
        <is>
          <t>GRE General</t>
        </is>
      </c>
      <c r="C475" s="4" t="inlineStr">
        <is>
          <t>Optional</t>
        </is>
      </c>
      <c r="D475" s="4" t="inlineStr">
        <is>
          <t>Optional; scheduled test dates may be listed</t>
        </is>
      </c>
      <c r="E475" s="4" t="inlineStr">
        <is>
          <t>Both the GRE General Test and the GRE Physics Test are optional.</t>
        </is>
      </c>
      <c r="F475" s="4" t="inlineStr">
        <is>
          <t>https://physics.arizona.edu/graduate-studies/apply-programs/phd-application-procedure</t>
        </is>
      </c>
      <c r="G475" s="4" t="inlineStr"/>
      <c r="H475" s="4" t="inlineStr">
        <is>
          <t>2026-10-21</t>
        </is>
      </c>
    </row>
    <row r="476">
      <c r="A476" s="4" t="inlineStr">
        <is>
          <t>University of Arizona</t>
        </is>
      </c>
      <c r="B476" s="4" t="inlineStr">
        <is>
          <t>Physics GRE</t>
        </is>
      </c>
      <c r="C476" s="4" t="inlineStr">
        <is>
          <t>Optional</t>
        </is>
      </c>
      <c r="D476" s="4" t="inlineStr">
        <is>
          <t>Optional</t>
        </is>
      </c>
      <c r="E476" s="4" t="inlineStr">
        <is>
          <t>Both the GRE General Test and the GRE Physics Test are optional.</t>
        </is>
      </c>
      <c r="F476" s="4" t="inlineStr">
        <is>
          <t>https://physics.arizona.edu/graduate-studies/apply-programs/phd-application-procedure</t>
        </is>
      </c>
      <c r="G476" s="4" t="inlineStr"/>
      <c r="H476" s="4" t="inlineStr">
        <is>
          <t>2026-10-21</t>
        </is>
      </c>
    </row>
    <row r="477">
      <c r="A477" s="4" t="inlineStr">
        <is>
          <t>University of Arizona</t>
        </is>
      </c>
      <c r="B477" s="4" t="inlineStr">
        <is>
          <t>TOEFL minimum</t>
        </is>
      </c>
      <c r="C477" s="4" t="inlineStr">
        <is>
          <t>79</t>
        </is>
      </c>
      <c r="D477" s="4" t="inlineStr">
        <is>
          <t>TOEFL iBT 79 (before Jan 21, 2026) or 4.0 (new 1-6 scale); IELTS 7 with no band below 6; PTE 60; Duolingo not accepted</t>
        </is>
      </c>
      <c r="E477" s="4" t="inlineStr">
        <is>
          <t>For tests taken prior to January 21, 2026: Minimum score of 79 iBT or Home Edition iBT. | For tests taken on or after January 21, 2026: Minimum overall score of 4.0 on the TOEFL 1-6 scale.  ||  Students must achieve a minimum of 79 points in the Test of English as a Foreign Language (TOEFL) iBT (https://physics.arizona.edu/graduate-studies/frequently-asked-questions)</t>
        </is>
      </c>
      <c r="F477" s="4" t="inlineStr">
        <is>
          <t>https://grad.arizona.edu/admissions/requirements/international-applicants</t>
        </is>
      </c>
      <c r="G477" s="4" t="inlineStr"/>
      <c r="H477" s="4" t="inlineStr">
        <is>
          <t>2026-10-21</t>
        </is>
      </c>
    </row>
    <row r="478">
      <c r="A478" s="4" t="inlineStr">
        <is>
          <t>University of Arizona</t>
        </is>
      </c>
      <c r="B478" s="4" t="inlineStr">
        <is>
          <t>English-test waiver (English-medium degree)</t>
        </is>
      </c>
      <c r="C478" s="4" t="inlineStr">
        <is>
          <t>Yes</t>
        </is>
      </c>
      <c r="D478" s="4" t="inlineStr">
        <is>
          <t>Graduate College exempts citizens of countries where English is an official language, and its country table lists India as "test required: No". CONFLICT: the department page literally says proof is required for applicants who "do not hold a degree from a US institution", then defers to the Graduate College country list; confirm with the department. Separately, international TAs from non-English-dominant countries must pass a spoken-English evaluation.</t>
        </is>
      </c>
      <c r="E478" s="4" t="inlineStr">
        <is>
          <t>Those exempt from submitting English proficiency scores are: | Applicants who hold citizenship from countries where English is an official language.  ||  {"country":"India","test_required":"No","minimum_degree":"3 year bachelor showing 120 or more credits"} (https://grad.arizona.edu/intladmissionsreqs/intl_reqs_by_country.json)  ||  Proof of English proficiency is required for international applicants who hold citizenship from a country where English is not the official language or do not hold a degree from a US institution. For specific country requirements follow this link. (https://physics.arizona.edu/graduate-studies/apply-programs/phd-application-procedure)</t>
        </is>
      </c>
      <c r="F478" s="4" t="inlineStr">
        <is>
          <t>https://grad.arizona.edu/admissions/requirements/international-applicants</t>
        </is>
      </c>
      <c r="G478" s="4" t="inlineStr">
        <is>
          <t>sources conflict</t>
        </is>
      </c>
      <c r="H478" s="4" t="inlineStr">
        <is>
          <t>2026-10-21</t>
        </is>
      </c>
    </row>
    <row r="479">
      <c r="A479" s="4" t="inlineStr">
        <is>
          <t>University of Arizona</t>
        </is>
      </c>
      <c r="B479" s="4" t="inlineStr">
        <is>
          <t>Supervisor before admission</t>
        </is>
      </c>
      <c r="C479" s="4" t="inlineStr">
        <is>
          <t>Not required</t>
        </is>
      </c>
      <c r="D479" s="4" t="inlineStr">
        <is>
          <t>Admission is department-wide, not tied to a research group; contacting faculty is not needed to gain admission</t>
        </is>
      </c>
      <c r="E479" s="4" t="inlineStr">
        <is>
          <t>Admissions decisions are made for our department as a whole, and are not specifically connected to any particular research group. | while you are always free to contact individual faculty members about their research interests and opportunities, you should not feel compelled to do so in order to gain admission to our program.</t>
        </is>
      </c>
      <c r="F479" s="4" t="inlineStr">
        <is>
          <t>https://physics.arizona.edu/graduate-studies/frequently-asked-questions</t>
        </is>
      </c>
      <c r="G479" s="4" t="inlineStr"/>
      <c r="H479" s="4" t="inlineStr">
        <is>
          <t>2026-10-21</t>
        </is>
      </c>
    </row>
    <row r="480">
      <c r="A480" s="4" t="inlineStr">
        <is>
          <t>University of Arizona</t>
        </is>
      </c>
      <c r="B480" s="4" t="inlineStr">
        <is>
          <t>PhD funding</t>
        </is>
      </c>
      <c r="C480" s="4" t="inlineStr">
        <is>
          <t>Guaranteed</t>
        </is>
      </c>
      <c r="D480" s="4" t="inlineStr">
        <is>
          <t>All admitted PhD students guaranteed TA or RA funding for at least the first two years; department strives to continue it with satisfactory progress</t>
        </is>
      </c>
      <c r="E480" s="4" t="inlineStr">
        <is>
          <t>All students admitted to our Ph.D. program are guaranteed funding at least for the first two years, either in the form of a Teaching Assistantship (TA) or a Research Assistantship (RA).</t>
        </is>
      </c>
      <c r="F480" s="4" t="inlineStr">
        <is>
          <t>https://physics.arizona.edu/graduate-studies/frequently-asked-questions</t>
        </is>
      </c>
      <c r="G480" s="4" t="inlineStr"/>
      <c r="H480" s="4" t="inlineStr">
        <is>
          <t>2026-10-21</t>
        </is>
      </c>
    </row>
    <row r="481">
      <c r="A481" s="4" t="inlineStr">
        <is>
          <t>University of Arizona</t>
        </is>
      </c>
      <c r="B481" s="4" t="inlineStr">
        <is>
          <t>Entry route</t>
        </is>
      </c>
      <c r="C481" s="4" t="inlineStr">
        <is>
          <t>Not stated</t>
        </is>
      </c>
      <c r="D481" s="4" t="inlineStr">
        <is>
          <t>Not stated on the pages checked (Graduate College minimum for India: 3-year bachelor showing 120+ credits)</t>
        </is>
      </c>
      <c r="E481" s="4" t="inlineStr">
        <is>
          <t>(no statement found)</t>
        </is>
      </c>
      <c r="F481" s="4" t="inlineStr">
        <is>
          <t>https://physics.arizona.edu/graduate-studies/apply-programs/phd-application-procedure</t>
        </is>
      </c>
      <c r="G481" s="4" t="inlineStr"/>
      <c r="H481" s="4" t="inlineStr">
        <is>
          <t>2026-10-21</t>
        </is>
      </c>
    </row>
    <row r="482">
      <c r="A482" s="4" t="inlineStr">
        <is>
          <t>University of Bristol</t>
        </is>
      </c>
      <c r="B482" s="4" t="inlineStr">
        <is>
          <t>Deadline (2027 entry)</t>
        </is>
      </c>
      <c r="C482" s="4" t="inlineStr">
        <is>
          <t>2027-01-17</t>
        </is>
      </c>
      <c r="D482" s="4" t="inlineStr">
        <is>
          <t>Funding deadline: applications must be received before Jan 18, 2027 (i.e. by Jan 17) for full consideration for UKRI, University of Bristol or School of Physics funding; apply as soon as possible after the cycle opens in October. Later applications are not considered once the programme is full.</t>
        </is>
      </c>
      <c r="E482" s="4" t="inlineStr">
        <is>
          <t>To receive full consideration for UKRI, University of Bristol or School of Physics funding, applications should be submitted as soon as possible after the start of the admissions cycle in October but must be received before 18 January 2027. | We are not able to consider applications submitted after the programme is full.</t>
        </is>
      </c>
      <c r="F482" s="4" t="inlineStr">
        <is>
          <t>https://www.bristol.ac.uk/study/postgraduate/research/physics/</t>
        </is>
      </c>
      <c r="G482" s="4" t="inlineStr"/>
      <c r="H482" s="4" t="inlineStr">
        <is>
          <t>2026-10-21</t>
        </is>
      </c>
    </row>
    <row r="483">
      <c r="A483" s="4" t="inlineStr">
        <is>
          <t>University of Bristol</t>
        </is>
      </c>
      <c r="B483" s="4" t="inlineStr">
        <is>
          <t>Application fee</t>
        </is>
      </c>
      <c r="C483" s="4" t="inlineStr">
        <is>
          <t>Not stated</t>
        </is>
      </c>
      <c r="D483" s="4" t="inlineStr">
        <is>
          <t>Not stated on the page checked</t>
        </is>
      </c>
      <c r="E483" s="4" t="inlineStr">
        <is>
          <t>(no statement found)</t>
        </is>
      </c>
      <c r="F483" s="4" t="inlineStr">
        <is>
          <t>https://www.bristol.ac.uk/study/postgraduate/research/physics/</t>
        </is>
      </c>
      <c r="G483" s="4" t="inlineStr"/>
      <c r="H483" s="4" t="inlineStr">
        <is>
          <t>2026-10-21</t>
        </is>
      </c>
    </row>
    <row r="484">
      <c r="A484" s="4" t="inlineStr">
        <is>
          <t>University of Bristol</t>
        </is>
      </c>
      <c r="B484" s="4" t="inlineStr">
        <is>
          <t>Intl fee waiver</t>
        </is>
      </c>
      <c r="C484" s="4" t="inlineStr">
        <is>
          <t>Not stated</t>
        </is>
      </c>
      <c r="D484" s="4" t="inlineStr">
        <is>
          <t>Not stated on the page checked</t>
        </is>
      </c>
      <c r="E484" s="4" t="inlineStr">
        <is>
          <t>(no statement found)</t>
        </is>
      </c>
      <c r="F484" s="4" t="inlineStr">
        <is>
          <t>https://www.bristol.ac.uk/study/postgraduate/research/physics/</t>
        </is>
      </c>
      <c r="G484" s="4" t="inlineStr"/>
      <c r="H484" s="4" t="inlineStr">
        <is>
          <t>2026-10-21</t>
        </is>
      </c>
    </row>
    <row r="485">
      <c r="A485" s="4" t="inlineStr">
        <is>
          <t>University of Bristol</t>
        </is>
      </c>
      <c r="B485" s="4" t="inlineStr">
        <is>
          <t>GRE General</t>
        </is>
      </c>
      <c r="C485" s="4" t="inlineStr">
        <is>
          <t>Not stated</t>
        </is>
      </c>
      <c r="D485" s="4" t="inlineStr">
        <is>
          <t>Not stated</t>
        </is>
      </c>
      <c r="E485" s="4" t="inlineStr">
        <is>
          <t>(no statement found)</t>
        </is>
      </c>
      <c r="F485" s="4" t="inlineStr">
        <is>
          <t>https://www.bristol.ac.uk/study/postgraduate/research/physics/</t>
        </is>
      </c>
      <c r="G485" s="4" t="inlineStr"/>
      <c r="H485" s="4" t="inlineStr">
        <is>
          <t>2026-10-21</t>
        </is>
      </c>
    </row>
    <row r="486">
      <c r="A486" s="4" t="inlineStr">
        <is>
          <t>University of Bristol</t>
        </is>
      </c>
      <c r="B486" s="4" t="inlineStr">
        <is>
          <t>Physics GRE</t>
        </is>
      </c>
      <c r="C486" s="4" t="inlineStr">
        <is>
          <t>Not stated</t>
        </is>
      </c>
      <c r="D486" s="4" t="inlineStr">
        <is>
          <t>Not stated</t>
        </is>
      </c>
      <c r="E486" s="4" t="inlineStr">
        <is>
          <t>(no statement found)</t>
        </is>
      </c>
      <c r="F486" s="4" t="inlineStr">
        <is>
          <t>https://www.bristol.ac.uk/study/postgraduate/research/physics/</t>
        </is>
      </c>
      <c r="G486" s="4" t="inlineStr"/>
      <c r="H486" s="4" t="inlineStr">
        <is>
          <t>2026-10-21</t>
        </is>
      </c>
    </row>
    <row r="487">
      <c r="A487" s="4" t="inlineStr">
        <is>
          <t>University of Bristol</t>
        </is>
      </c>
      <c r="B487" s="4" t="inlineStr">
        <is>
          <t>TOEFL minimum</t>
        </is>
      </c>
      <c r="C487" s="4" t="inlineStr">
        <is>
          <t>4.5 (new scale)</t>
        </is>
      </c>
      <c r="D487" s="4" t="inlineStr">
        <is>
          <t>English profile F. TOEFL iBT tests from Jan 21, 2026: 4.5 overall with 4.5 in all skills; tests up to Jan 20, 2026: 83 overall (R20, L21, S21, W20 or R20, L20, S23, W20). IELTS Academic 6.0 overall with listening or speaking 6.5 and no score below 6.0</t>
        </is>
      </c>
      <c r="E487" s="4" t="inlineStr">
        <is>
          <t>For tests taken up to 20 January 2026: 83 overall with either R20, L21, S21 and W20, or R20, L20, S23 and W20 | For tests taken from 21 January 2026 onwards: 4.5 overall with 4.5 in all skills | 6.0 overall with either listening or speaking at 6.5, with no score below 6.0  ||  If English is not your first language, you will need to reach the requirements outlined in our profile level F. (https://www.bristol.ac.uk/study/postgraduate/research/physics/)</t>
        </is>
      </c>
      <c r="F487" s="4" t="inlineStr">
        <is>
          <t>https://www.bristol.ac.uk/study/language-requirements/profile-f/</t>
        </is>
      </c>
      <c r="G487" s="4" t="inlineStr"/>
      <c r="H487" s="4" t="inlineStr">
        <is>
          <t>2026-10-21</t>
        </is>
      </c>
    </row>
    <row r="488">
      <c r="A488" s="4" t="inlineStr">
        <is>
          <t>University of Bristol</t>
        </is>
      </c>
      <c r="B488" s="4" t="inlineStr">
        <is>
          <t>English-test waiver (English-medium degree)</t>
        </is>
      </c>
      <c r="C488" s="4" t="inlineStr">
        <is>
          <t>Yes</t>
        </is>
      </c>
      <c r="D488" s="4" t="inlineStr">
        <is>
          <t>A degree from any country counts if it was fully taught and examined in English, shown by an official Medium of Instruction (MOI) letter from the awarding institution. It must have been awarded no more than 7 years before the start, and the University may still ask for more evidence.</t>
        </is>
      </c>
      <c r="E488" s="4" t="inlineStr">
        <is>
          <t>Applicants with a university-level qualification listed above, when fully taught and examined in English (not including Study Abroad years) in any country, may also meet the University's English language requirements. This must be evidenced by means of an official Medium of Instruction (MOI) letter from the awarding institution, confirming that English is the medium of teaching and examination. | In all cases, qualifications must have been awarded no more than seven years prior to the start of the degree programme.</t>
        </is>
      </c>
      <c r="F488" s="4" t="inlineStr">
        <is>
          <t>https://www.bristol.ac.uk/study/language-requirements/profile-f/</t>
        </is>
      </c>
      <c r="G488" s="4" t="inlineStr"/>
      <c r="H488" s="4" t="inlineStr">
        <is>
          <t>2026-10-21</t>
        </is>
      </c>
    </row>
    <row r="489">
      <c r="A489" s="4" t="inlineStr">
        <is>
          <t>University of Bristol</t>
        </is>
      </c>
      <c r="B489" s="4" t="inlineStr">
        <is>
          <t>Supervisor before admission</t>
        </is>
      </c>
      <c r="C489" s="4" t="inlineStr">
        <is>
          <t>Recommended</t>
        </is>
      </c>
      <c r="D489" s="4" t="inlineStr">
        <is>
          <t>Encouraged to contact the research theme's academic lead or a potential supervisor informally before applying; if you have already contacted one, name them on the form</t>
        </is>
      </c>
      <c r="E489" s="4" t="inlineStr">
        <is>
          <t>For informal discussions before making an application, prospective students are encouraged to contact either the academic lead in the research theme of interest for guidance, or the potential supervisor for project discussions. | If you have already contacted a potential supervisor or are replying to a studentship advert, please indicate the potential supervisors name on the application form.</t>
        </is>
      </c>
      <c r="F489" s="4" t="inlineStr">
        <is>
          <t>https://www.bristol.ac.uk/study/postgraduate/research/physics/</t>
        </is>
      </c>
      <c r="G489" s="4" t="inlineStr"/>
      <c r="H489" s="4" t="inlineStr">
        <is>
          <t>2026-10-21</t>
        </is>
      </c>
    </row>
    <row r="490">
      <c r="A490" s="4" t="inlineStr">
        <is>
          <t>University of Bristol</t>
        </is>
      </c>
      <c r="B490" s="4" t="inlineStr">
        <is>
          <t>PhD funding</t>
        </is>
      </c>
      <c r="C490" s="4" t="inlineStr">
        <is>
          <t>Competitive</t>
        </is>
      </c>
      <c r="D490" s="4" t="inlineStr">
        <is>
          <t>The School's PhD scholarships are awarded competitively; it also typically receives some University of Bristol PGR Scholarships. Applicants bringing home-country, Commonwealth or other scholarships are welcomed.</t>
        </is>
      </c>
      <c r="E490" s="4" t="inlineStr">
        <is>
          <t>In each academic year, the School of Physics has a number of scholarships for PhD degrees, which are awarded competitively to candidates with the highest research potential. | The School also typically receives a number of University of Bristol PGR Scholarships each year.</t>
        </is>
      </c>
      <c r="F490" s="4" t="inlineStr">
        <is>
          <t>https://www.bristol.ac.uk/study/postgraduate/research/physics/</t>
        </is>
      </c>
      <c r="G490" s="4" t="inlineStr"/>
      <c r="H490" s="4" t="inlineStr">
        <is>
          <t>2026-10-21</t>
        </is>
      </c>
    </row>
    <row r="491">
      <c r="A491" s="4" t="inlineStr">
        <is>
          <t>University of Bristol</t>
        </is>
      </c>
      <c r="B491" s="4" t="inlineStr">
        <is>
          <t>Entry route</t>
        </is>
      </c>
      <c r="C491" s="4" t="inlineStr">
        <is>
          <t>Master's usually required</t>
        </is>
      </c>
      <c r="D491" s="4" t="inlineStr">
        <is>
          <t>PhD normally needs at least a 2:1 MSci (integrated master's) or a postgraduate MSc or equivalent; a first or 2:1 BSc may be considered if you can show good research potential or relevant professional experience</t>
        </is>
      </c>
      <c r="E491" s="4" t="inlineStr">
        <is>
          <t>PhD: A minimum of an upper second-class MSci honours degree in physics, or a relevant related discipline, or a postgraduate MSc or international equivalent. We may consider applicants with a lower second-class MSci honours degree, or a first or upper second-class BSc honours degree who can demonstrate good potential for research or have relevant professional experience.</t>
        </is>
      </c>
      <c r="F491" s="4" t="inlineStr">
        <is>
          <t>https://www.bristol.ac.uk/study/postgraduate/research/physics/</t>
        </is>
      </c>
      <c r="G491" s="4" t="inlineStr"/>
      <c r="H491" s="4" t="inlineStr">
        <is>
          <t>2026-10-21</t>
        </is>
      </c>
    </row>
    <row r="492">
      <c r="A492" s="4" t="inlineStr">
        <is>
          <t>University of British Columbia (Vancouver)</t>
        </is>
      </c>
      <c r="B492" s="4" t="inlineStr">
        <is>
          <t>Deadline (2027 entry)</t>
        </is>
      </c>
      <c r="C492" s="4" t="inlineStr">
        <is>
          <t>2026-12-01</t>
        </is>
      </c>
      <c r="D492" s="4" t="inlineStr">
        <is>
          <t>1 December 2026 for September 2027 intake</t>
        </is>
      </c>
      <c r="E492" s="4" t="inlineStr">
        <is>
          <t>September 2027 | Application Deadline1 December 2026</t>
        </is>
      </c>
      <c r="F492" s="4" t="inlineStr">
        <is>
          <t>https://www.grad.ubc.ca/prospective-students/graduate-degree-programs/phd-physics</t>
        </is>
      </c>
      <c r="G492" s="4" t="inlineStr"/>
      <c r="H492" s="4" t="inlineStr">
        <is>
          <t>2026-10-21</t>
        </is>
      </c>
    </row>
    <row r="493">
      <c r="A493" s="4" t="inlineStr">
        <is>
          <t>University of British Columbia (Vancouver)</t>
        </is>
      </c>
      <c r="B493" s="4" t="inlineStr">
        <is>
          <t>Application fee</t>
        </is>
      </c>
      <c r="C493" s="4" t="inlineStr">
        <is>
          <t>168.25 CAD</t>
        </is>
      </c>
      <c r="D493" s="4" t="inlineStr">
        <is>
          <t>International applicants CAD 168.25 (Canadians CAD 118.50) for Sept 2026-Aug 2027 applications</t>
        </is>
      </c>
      <c r="E493" s="4" t="inlineStr">
        <is>
          <t>September 2026 to August 2027: | Canadians (and Permanent Residents, Refugees, Diplomats): (CDN) $118.5 | International Applicants: (CDN) $168.25</t>
        </is>
      </c>
      <c r="F493" s="4" t="inlineStr">
        <is>
          <t>https://www.grad.ubc.ca/prospective-students/application-admission/online-application-fee</t>
        </is>
      </c>
      <c r="G493" s="4" t="inlineStr"/>
      <c r="H493" s="4" t="inlineStr">
        <is>
          <t>2026-10-21</t>
        </is>
      </c>
    </row>
    <row r="494">
      <c r="A494" s="4" t="inlineStr">
        <is>
          <t>University of British Columbia (Vancouver)</t>
        </is>
      </c>
      <c r="B494" s="4" t="inlineStr">
        <is>
          <t>Intl fee waiver</t>
        </is>
      </c>
      <c r="C494" s="4" t="inlineStr">
        <is>
          <t>Limited</t>
        </is>
      </c>
      <c r="D494" s="4" t="inlineStr">
        <is>
          <t>Automatic waiver only for citizens AND residents of the UN's 50 least developed countries (India is not on that list)</t>
        </is>
      </c>
      <c r="E494" s="4" t="inlineStr">
        <is>
          <t>For international applicants whose citizenship and correspondence address is located in one of the world's 50 least developed countries, as declared by the United Nations.</t>
        </is>
      </c>
      <c r="F494" s="4" t="inlineStr">
        <is>
          <t>https://www.grad.ubc.ca/prospective-students/application-admission/online-application-fee</t>
        </is>
      </c>
      <c r="G494" s="4" t="inlineStr"/>
      <c r="H494" s="4" t="inlineStr">
        <is>
          <t>2026-10-21</t>
        </is>
      </c>
    </row>
    <row r="495">
      <c r="A495" s="4" t="inlineStr">
        <is>
          <t>University of British Columbia (Vancouver)</t>
        </is>
      </c>
      <c r="B495" s="4" t="inlineStr">
        <is>
          <t>GRE General</t>
        </is>
      </c>
      <c r="C495" s="4" t="inlineStr">
        <is>
          <t>Not required</t>
        </is>
      </c>
      <c r="D495" s="4" t="inlineStr">
        <is>
          <t>GRE not required</t>
        </is>
      </c>
      <c r="E495" s="4" t="inlineStr">
        <is>
          <t>The requirements for this program are: The GRE is not required.</t>
        </is>
      </c>
      <c r="F495" s="4" t="inlineStr">
        <is>
          <t>https://www.grad.ubc.ca/prospective-students/graduate-degree-programs/phd-physics</t>
        </is>
      </c>
      <c r="G495" s="4" t="inlineStr"/>
      <c r="H495" s="4" t="inlineStr">
        <is>
          <t>2026-10-21</t>
        </is>
      </c>
    </row>
    <row r="496">
      <c r="A496" s="4" t="inlineStr">
        <is>
          <t>University of British Columbia (Vancouver)</t>
        </is>
      </c>
      <c r="B496" s="4" t="inlineStr">
        <is>
          <t>Physics GRE</t>
        </is>
      </c>
      <c r="C496" s="4" t="inlineStr">
        <is>
          <t>Not required</t>
        </is>
      </c>
      <c r="D496" s="4" t="inlineStr">
        <is>
          <t>GRE not required (no subject-test requirement listed)</t>
        </is>
      </c>
      <c r="E496" s="4" t="inlineStr">
        <is>
          <t>The GRE is not required.</t>
        </is>
      </c>
      <c r="F496" s="4" t="inlineStr">
        <is>
          <t>https://www.grad.ubc.ca/prospective-students/graduate-degree-programs/phd-physics</t>
        </is>
      </c>
      <c r="G496" s="4" t="inlineStr"/>
      <c r="H496" s="4" t="inlineStr">
        <is>
          <t>2026-10-21</t>
        </is>
      </c>
    </row>
    <row r="497">
      <c r="A497" s="4" t="inlineStr">
        <is>
          <t>University of British Columbia (Vancouver)</t>
        </is>
      </c>
      <c r="B497" s="4" t="inlineStr">
        <is>
          <t>TOEFL minimum</t>
        </is>
      </c>
      <c r="C497" s="4" t="inlineStr">
        <is>
          <t>90</t>
        </is>
      </c>
      <c r="D497" s="4" t="inlineStr">
        <is>
          <t>TOEFL 90 (old 120-point scale) or 4.5 (new 6-point scale from Jan 21, 2026); IELTS 6.5; scores must be under 24 months old</t>
        </is>
      </c>
      <c r="E497" s="4" t="inlineStr">
        <is>
          <t>120-point scale for tests taken prior to Jan 21, 2026 | Overall score requirement: 90 | 6-point scale for tests taken as of Jan 21, 2026 | Overall score requirement: 4.5</t>
        </is>
      </c>
      <c r="F497" s="4" t="inlineStr">
        <is>
          <t>https://www.grad.ubc.ca/prospective-students/graduate-degree-programs/phd-physics</t>
        </is>
      </c>
      <c r="G497" s="4" t="inlineStr"/>
      <c r="H497" s="4" t="inlineStr">
        <is>
          <t>2026-10-21</t>
        </is>
      </c>
    </row>
    <row r="498">
      <c r="A498" s="4" t="inlineStr">
        <is>
          <t>University of British Columbia (Vancouver)</t>
        </is>
      </c>
      <c r="B498" s="4" t="inlineStr">
        <is>
          <t>English-test waiver (English-medium degree)</t>
        </is>
      </c>
      <c r="C498" s="4" t="inlineStr">
        <is>
          <t>Yes</t>
        </is>
      </c>
      <c r="D498" s="4" t="inlineStr">
        <is>
          <t>Test required only if your university's primary language of instruction is not English (confirm with the program for your institution)</t>
        </is>
      </c>
      <c r="E498" s="4" t="inlineStr">
        <is>
          <t>Applicants from a university outside Canada in which English is not the primary language of instruction must provide results of an English language proficiency examination as part of their application.</t>
        </is>
      </c>
      <c r="F498" s="4" t="inlineStr">
        <is>
          <t>https://www.grad.ubc.ca/prospective-students/application-admission/english-language-test</t>
        </is>
      </c>
      <c r="G498" s="4" t="inlineStr"/>
      <c r="H498" s="4" t="inlineStr">
        <is>
          <t>2026-10-21</t>
        </is>
      </c>
    </row>
    <row r="499">
      <c r="A499" s="4" t="inlineStr">
        <is>
          <t>University of British Columbia (Vancouver)</t>
        </is>
      </c>
      <c r="B499" s="4" t="inlineStr">
        <is>
          <t>Supervisor before admission</t>
        </is>
      </c>
      <c r="C499" s="4" t="inlineStr">
        <is>
          <t>Not required</t>
        </is>
      </c>
      <c r="D499" s="4" t="inlineStr">
        <is>
          <t>Name faculty of interest in the application; no prior commitment needed, but contacting faculty is encouraged</t>
        </is>
      </c>
      <c r="E499" s="4" t="inlineStr">
        <is>
          <t>No commitment from a supervisor prior to applying is necessary, but contacting faculty members is encouraged.</t>
        </is>
      </c>
      <c r="F499" s="4" t="inlineStr">
        <is>
          <t>https://www.grad.ubc.ca/prospective-students/graduate-degree-programs/phd-physics</t>
        </is>
      </c>
      <c r="G499" s="4" t="inlineStr"/>
      <c r="H499" s="4" t="inlineStr">
        <is>
          <t>2026-10-21</t>
        </is>
      </c>
    </row>
    <row r="500">
      <c r="A500" s="4" t="inlineStr">
        <is>
          <t>University of British Columbia (Vancouver)</t>
        </is>
      </c>
      <c r="B500" s="4" t="inlineStr">
        <is>
          <t>PhD funding</t>
        </is>
      </c>
      <c r="C500" s="4" t="inlineStr">
        <is>
          <t>Guaranteed</t>
        </is>
      </c>
      <c r="D500" s="4" t="inlineStr">
        <is>
          <t>At least CAD 40,000/year for each of the first four PhD years (from September 2026)</t>
        </is>
      </c>
      <c r="E500" s="4" t="inlineStr">
        <is>
          <t>All full-time students in UBC-Vancouver PhD programs will be provided with a funding package of at least $40,000 for each of the first four years of their PhD from September 2026.</t>
        </is>
      </c>
      <c r="F500" s="4" t="inlineStr">
        <is>
          <t>https://www.grad.ubc.ca/prospective-students/graduate-degree-programs/phd-physics</t>
        </is>
      </c>
      <c r="G500" s="4" t="inlineStr"/>
      <c r="H500" s="4" t="inlineStr">
        <is>
          <t>2026-10-21</t>
        </is>
      </c>
    </row>
    <row r="501">
      <c r="A501" s="4" t="inlineStr">
        <is>
          <t>University of British Columbia (Vancouver)</t>
        </is>
      </c>
      <c r="B501" s="4" t="inlineStr">
        <is>
          <t>Entry route</t>
        </is>
      </c>
      <c r="C501" s="4" t="inlineStr">
        <is>
          <t>Master's usually required</t>
        </is>
      </c>
      <c r="D501" s="4" t="inlineStr">
        <is>
          <t>PhD normally after an MSc/MASc; strong MSc students can transfer after a year at UBC</t>
        </is>
      </c>
      <c r="E501" s="4" t="inlineStr">
        <is>
          <t>Students are normally admitted to the Ph.D. program after obtaining an M.Sc. or M.A.Sc. and meeting the admission requirements set by the Faculty of Graduate and Postdoctoral Studies.</t>
        </is>
      </c>
      <c r="F501" s="4" t="inlineStr">
        <is>
          <t>https://vancouver.calendar.ubc.ca/faculties-colleges-and-schools/faculty-graduate-and-postdoctoral-studies/degree-programs/physics</t>
        </is>
      </c>
      <c r="G501" s="4" t="inlineStr"/>
      <c r="H501" s="4" t="inlineStr">
        <is>
          <t>2026-10-21</t>
        </is>
      </c>
    </row>
    <row r="502">
      <c r="A502" s="4" t="inlineStr">
        <is>
          <t>University of Calgary</t>
        </is>
      </c>
      <c r="B502" s="4" t="inlineStr">
        <is>
          <t>Deadline (2027 entry)</t>
        </is>
      </c>
      <c r="C502" s="4" t="inlineStr">
        <is>
          <t>2027-01-15</t>
        </is>
      </c>
      <c r="D502" s="4" t="inlineStr">
        <is>
          <t>January 15 for September admission (Canadian and international); system closes that day. Year inferred.</t>
        </is>
      </c>
      <c r="E502" s="4" t="inlineStr">
        <is>
          <t>International students: Jan. 15 application deadline</t>
        </is>
      </c>
      <c r="F502" s="4" t="inlineStr">
        <is>
          <t>https://grad.ucalgary.ca/future-students/graduate/discover-opportunities/explore-programs/physics-and-astronomy-phd</t>
        </is>
      </c>
      <c r="G502" s="4" t="inlineStr">
        <is>
          <t>year inferred</t>
        </is>
      </c>
      <c r="H502" s="4" t="inlineStr">
        <is>
          <t>2026-10-21</t>
        </is>
      </c>
    </row>
    <row r="503">
      <c r="A503" s="4" t="inlineStr">
        <is>
          <t>University of Calgary</t>
        </is>
      </c>
      <c r="B503" s="4" t="inlineStr">
        <is>
          <t>Application fee</t>
        </is>
      </c>
      <c r="C503" s="4" t="inlineStr">
        <is>
          <t>Not stated</t>
        </is>
      </c>
      <c r="D503" s="4" t="inlineStr">
        <is>
          <t>Amount not shown on the pages checked</t>
        </is>
      </c>
      <c r="E503" s="4" t="inlineStr">
        <is>
          <t>(no statement found)</t>
        </is>
      </c>
      <c r="F503" s="4" t="inlineStr">
        <is>
          <t>https://grad.ucalgary.ca/future-students/graduate/discover-opportunities/explore-programs/physics-and-astronomy-phd</t>
        </is>
      </c>
      <c r="G503" s="4" t="inlineStr"/>
      <c r="H503" s="4" t="inlineStr">
        <is>
          <t>2026-10-21</t>
        </is>
      </c>
    </row>
    <row r="504">
      <c r="A504" s="4" t="inlineStr">
        <is>
          <t>University of Calgary</t>
        </is>
      </c>
      <c r="B504" s="4" t="inlineStr">
        <is>
          <t>Intl fee waiver</t>
        </is>
      </c>
      <c r="C504" s="4" t="inlineStr">
        <is>
          <t>None</t>
        </is>
      </c>
      <c r="D504" s="4" t="inlineStr">
        <is>
          <t>No fee-waiver program</t>
        </is>
      </c>
      <c r="E504" s="4" t="inlineStr">
        <is>
          <t>We do not have a program to waive the application fee.</t>
        </is>
      </c>
      <c r="F504" s="4" t="inlineStr">
        <is>
          <t>https://science.ucalgary.ca/physics-astronomy/future-students/graduate/application-faqs</t>
        </is>
      </c>
      <c r="G504" s="4" t="inlineStr"/>
      <c r="H504" s="4" t="inlineStr">
        <is>
          <t>2026-10-21</t>
        </is>
      </c>
    </row>
    <row r="505">
      <c r="A505" s="4" t="inlineStr">
        <is>
          <t>University of Calgary</t>
        </is>
      </c>
      <c r="B505" s="4" t="inlineStr">
        <is>
          <t>GRE General</t>
        </is>
      </c>
      <c r="C505" s="4" t="inlineStr">
        <is>
          <t>Not stated</t>
        </is>
      </c>
      <c r="D505" s="4" t="inlineStr">
        <is>
          <t>Only the Physics subject GRE is mentioned</t>
        </is>
      </c>
      <c r="E505" s="4" t="inlineStr">
        <is>
          <t>(no statement found)</t>
        </is>
      </c>
      <c r="F505" s="4" t="inlineStr">
        <is>
          <t>https://grad.ucalgary.ca/future-students/graduate/discover-opportunities/explore-programs/physics-and-astronomy-phd</t>
        </is>
      </c>
      <c r="G505" s="4" t="inlineStr"/>
      <c r="H505" s="4" t="inlineStr">
        <is>
          <t>2026-10-21</t>
        </is>
      </c>
    </row>
    <row r="506">
      <c r="A506" s="4" t="inlineStr">
        <is>
          <t>University of Calgary</t>
        </is>
      </c>
      <c r="B506" s="4" t="inlineStr">
        <is>
          <t>Physics GRE</t>
        </is>
      </c>
      <c r="C506" s="4" t="inlineStr">
        <is>
          <t>Required</t>
        </is>
      </c>
      <c r="D506" s="4" t="inlineStr">
        <is>
          <t>REQUIRED for all foreign applicants</t>
        </is>
      </c>
      <c r="E506" s="4" t="inlineStr">
        <is>
          <t>All foreign applicants must submit Graduate Record Examination (GRE) Physics subject score</t>
        </is>
      </c>
      <c r="F506" s="4" t="inlineStr">
        <is>
          <t>https://grad.ucalgary.ca/future-students/graduate/discover-opportunities/explore-programs/physics-and-astronomy-phd</t>
        </is>
      </c>
      <c r="G506" s="4" t="inlineStr">
        <is>
          <t>international applicants</t>
        </is>
      </c>
      <c r="H506" s="4" t="inlineStr">
        <is>
          <t>2026-10-21</t>
        </is>
      </c>
    </row>
    <row r="507">
      <c r="A507" s="4" t="inlineStr">
        <is>
          <t>University of Calgary</t>
        </is>
      </c>
      <c r="B507" s="4" t="inlineStr">
        <is>
          <t>TOEFL minimum</t>
        </is>
      </c>
      <c r="C507" s="4" t="inlineStr">
        <is>
          <t>Not stated</t>
        </is>
      </c>
      <c r="D507" s="4" t="inlineStr">
        <is>
          <t>Faculty of Science ELP rules in the Academic Calendar; minimum not shown on the pages checked</t>
        </is>
      </c>
      <c r="E507" s="4" t="inlineStr">
        <is>
          <t>For accepted criteria, please refer to the “Faculty of Science English Language Proficiency (ELP) Requirements” page in the Academic Calendar.</t>
        </is>
      </c>
      <c r="F507" s="4" t="inlineStr">
        <is>
          <t>https://grad.ucalgary.ca/future-students/graduate/discover-opportunities/explore-programs/physics-and-astronomy-phd</t>
        </is>
      </c>
      <c r="G507" s="4" t="inlineStr"/>
      <c r="H507" s="4" t="inlineStr">
        <is>
          <t>2026-10-21</t>
        </is>
      </c>
    </row>
    <row r="508">
      <c r="A508" s="4" t="inlineStr">
        <is>
          <t>University of Calgary</t>
        </is>
      </c>
      <c r="B508" s="4" t="inlineStr">
        <is>
          <t>English-test waiver (English-medium degree)</t>
        </is>
      </c>
      <c r="C508" s="4" t="inlineStr">
        <is>
          <t>No</t>
        </is>
      </c>
      <c r="D508" s="4" t="inlineStr">
        <is>
          <t>Test required if your degree is from a country where English is not a native language (English-taught courses alone do not exempt you)</t>
        </is>
      </c>
      <c r="E508" s="4" t="inlineStr">
        <is>
          <t>English Proficiency Test is required from all applicants if their degrees are granted from institutions of countries where English is not a native language.</t>
        </is>
      </c>
      <c r="F508" s="4" t="inlineStr">
        <is>
          <t>https://science.ucalgary.ca/physics-astronomy/future-students/graduate/application-faqs</t>
        </is>
      </c>
      <c r="G508" s="4" t="inlineStr"/>
      <c r="H508" s="4" t="inlineStr">
        <is>
          <t>2026-10-21</t>
        </is>
      </c>
    </row>
    <row r="509">
      <c r="A509" s="4" t="inlineStr">
        <is>
          <t>University of Calgary</t>
        </is>
      </c>
      <c r="B509" s="4" t="inlineStr">
        <is>
          <t>Supervisor before admission</t>
        </is>
      </c>
      <c r="C509" s="4" t="inlineStr">
        <is>
          <t>Required</t>
        </is>
      </c>
      <c r="D509" s="4" t="inlineStr">
        <is>
          <t>No supervisor needed to apply, but you are admitted only if at least one potential supervisor will fund you; contacting faculty first helps</t>
        </is>
      </c>
      <c r="E509" s="4" t="inlineStr">
        <is>
          <t>Do I have to find a supervisor before I apply? No. However, contacting faculty members before applying may increase your chances of admission. We only admit students where there is at least one potential supervisor willing to provide funding.</t>
        </is>
      </c>
      <c r="F509" s="4" t="inlineStr">
        <is>
          <t>https://science.ucalgary.ca/physics-astronomy/future-students/graduate/application-faqs</t>
        </is>
      </c>
      <c r="G509" s="4" t="inlineStr"/>
      <c r="H509" s="4" t="inlineStr">
        <is>
          <t>2026-10-21</t>
        </is>
      </c>
    </row>
    <row r="510">
      <c r="A510" s="4" t="inlineStr">
        <is>
          <t>University of Calgary</t>
        </is>
      </c>
      <c r="B510" s="4" t="inlineStr">
        <is>
          <t>PhD funding</t>
        </is>
      </c>
      <c r="C510" s="4" t="inlineStr">
        <is>
          <t>Guaranteed</t>
        </is>
      </c>
      <c r="D510" s="4" t="inlineStr">
        <is>
          <t>All admitted full-time thesis students are funded (tuition still payable)</t>
        </is>
      </c>
      <c r="E510" s="4" t="inlineStr">
        <is>
          <t>All admitted full-time thesis-based students (except those who are sponsored by a company, an institution or a government) will be funded.</t>
        </is>
      </c>
      <c r="F510" s="4" t="inlineStr">
        <is>
          <t>https://science.ucalgary.ca/physics-astronomy/future-students/graduate/application-faqs</t>
        </is>
      </c>
      <c r="G510" s="4" t="inlineStr"/>
      <c r="H510" s="4" t="inlineStr">
        <is>
          <t>2026-10-21</t>
        </is>
      </c>
    </row>
    <row r="511">
      <c r="A511" s="4" t="inlineStr">
        <is>
          <t>University of Calgary</t>
        </is>
      </c>
      <c r="B511" s="4" t="inlineStr">
        <is>
          <t>Entry route</t>
        </is>
      </c>
      <c r="C511" s="4" t="inlineStr">
        <is>
          <t>Not stated</t>
        </is>
      </c>
      <c r="D511" s="4" t="inlineStr">
        <is>
          <t>PhD entry rules not stated; note a 3-year BSc needs an MSc before any graduate admission</t>
        </is>
      </c>
      <c r="E511" s="4" t="inlineStr">
        <is>
          <t>With a 3-year B.Sc. degree, we also require a M.Sc. degree if you want to apply for our graduate program.</t>
        </is>
      </c>
      <c r="F511" s="4" t="inlineStr">
        <is>
          <t>https://science.ucalgary.ca/physics-astronomy/future-students/graduate/application-faqs</t>
        </is>
      </c>
      <c r="G511" s="4" t="inlineStr"/>
      <c r="H511" s="4" t="inlineStr">
        <is>
          <t>2026-10-21</t>
        </is>
      </c>
    </row>
    <row r="512">
      <c r="A512" s="4" t="inlineStr">
        <is>
          <t>University of California, Berkeley</t>
        </is>
      </c>
      <c r="B512" s="4" t="inlineStr">
        <is>
          <t>Deadline (2027 entry)</t>
        </is>
      </c>
      <c r="C512" s="4" t="inlineStr">
        <is>
          <t>2026-12-15</t>
        </is>
      </c>
      <c r="D512" s="4" t="inlineStr">
        <is>
          <t>December 15, 2026, 8:59 PM Pacific for Fall 2027; application should be complete incl. letters</t>
        </is>
      </c>
      <c r="E512" s="4" t="inlineStr">
        <is>
          <t>The application deadline for Fall 2027 admission to the Berkeley Physics Ph.D. program is: December 15 2026, at 8:59 PM (Pacific Standard Time)/11:59 PM (Eastern Standard Time)</t>
        </is>
      </c>
      <c r="F512" s="4" t="inlineStr">
        <is>
          <t>https://physics.berkeley.edu/academic/graduate-degree/graduate-admissions</t>
        </is>
      </c>
      <c r="G512" s="4" t="inlineStr"/>
      <c r="H512" s="4" t="inlineStr">
        <is>
          <t>2026-10-21</t>
        </is>
      </c>
    </row>
    <row r="513">
      <c r="A513" s="4" t="inlineStr">
        <is>
          <t>University of California, Berkeley</t>
        </is>
      </c>
      <c r="B513" s="4" t="inlineStr">
        <is>
          <t>Application fee</t>
        </is>
      </c>
      <c r="C513" s="4" t="inlineStr">
        <is>
          <t>Not stated</t>
        </is>
      </c>
      <c r="D513" s="4" t="inlineStr">
        <is>
          <t>Amount not shown on the pages checked</t>
        </is>
      </c>
      <c r="E513" s="4" t="inlineStr">
        <is>
          <t>(no statement found)</t>
        </is>
      </c>
      <c r="F513" s="4" t="inlineStr">
        <is>
          <t>https://physics.berkeley.edu/academic/graduate-degree/graduate-admissions</t>
        </is>
      </c>
      <c r="G513" s="4" t="inlineStr"/>
      <c r="H513" s="4" t="inlineStr">
        <is>
          <t>2026-10-21</t>
        </is>
      </c>
    </row>
    <row r="514">
      <c r="A514" s="4" t="inlineStr">
        <is>
          <t>University of California, Berkeley</t>
        </is>
      </c>
      <c r="B514" s="4" t="inlineStr">
        <is>
          <t>Intl fee waiver</t>
        </is>
      </c>
      <c r="C514" s="4" t="inlineStr">
        <is>
          <t>Domestic only</t>
        </is>
      </c>
      <c r="D514" s="4" t="inlineStr">
        <is>
          <t>Graduate Division waivers are for U.S. citizens/permanent residents</t>
        </is>
      </c>
      <c r="E514" s="4" t="inlineStr">
        <is>
          <t>U.S. citizens or current permanent residents may be eligible for an application fee waiver.</t>
        </is>
      </c>
      <c r="F514" s="4" t="inlineStr">
        <is>
          <t>https://grad.berkeley.edu/admissions/application-process/fee-waiver/</t>
        </is>
      </c>
      <c r="G514" s="4" t="inlineStr"/>
      <c r="H514" s="4" t="inlineStr">
        <is>
          <t>2026-10-21</t>
        </is>
      </c>
    </row>
    <row r="515">
      <c r="A515" s="4" t="inlineStr">
        <is>
          <t>University of California, Berkeley</t>
        </is>
      </c>
      <c r="B515" s="4" t="inlineStr">
        <is>
          <t>GRE General</t>
        </is>
      </c>
      <c r="C515" s="4" t="inlineStr">
        <is>
          <t>Recommended</t>
        </is>
      </c>
      <c r="D515" s="4" t="inlineStr">
        <is>
          <t>Strongly recommended (not required) for Fall 2027; required from Fall 2028 entry</t>
        </is>
      </c>
      <c r="E515" s="4" t="inlineStr">
        <is>
          <t>For the upcoming admissions cycle (applying in Fall 2026 for Fall 2027 entry): The Physics GRE is required, and the General GRE is strongly recommended but not required. | For future cycles (applying in Fall 2027 for Fall 2028 entry and beyond): Both the General and Physics GRE will be required.</t>
        </is>
      </c>
      <c r="F515" s="4" t="inlineStr">
        <is>
          <t>https://physics.berkeley.edu/academic/graduate-degree/graduate-admissions</t>
        </is>
      </c>
      <c r="G515" s="4" t="inlineStr"/>
      <c r="H515" s="4" t="inlineStr">
        <is>
          <t>2026-10-21</t>
        </is>
      </c>
    </row>
    <row r="516">
      <c r="A516" s="4" t="inlineStr">
        <is>
          <t>University of California, Berkeley</t>
        </is>
      </c>
      <c r="B516" s="4" t="inlineStr">
        <is>
          <t>Physics GRE</t>
        </is>
      </c>
      <c r="C516" s="4" t="inlineStr">
        <is>
          <t>Required</t>
        </is>
      </c>
      <c r="D516" s="4" t="inlineStr">
        <is>
          <t>Physics GRE REQUIRED for Fall 2027 entry</t>
        </is>
      </c>
      <c r="E516" s="4" t="inlineStr">
        <is>
          <t>For the upcoming admissions cycle (applying in Fall 2026 for Fall 2027 entry): The Physics GRE is required</t>
        </is>
      </c>
      <c r="F516" s="4" t="inlineStr">
        <is>
          <t>https://physics.berkeley.edu/academic/graduate-degree/graduate-admissions</t>
        </is>
      </c>
      <c r="G516" s="4" t="inlineStr"/>
      <c r="H516" s="4" t="inlineStr">
        <is>
          <t>2026-10-21</t>
        </is>
      </c>
    </row>
    <row r="517">
      <c r="A517" s="4" t="inlineStr">
        <is>
          <t>University of California, Berkeley</t>
        </is>
      </c>
      <c r="B517" s="4" t="inlineStr">
        <is>
          <t>TOEFL minimum</t>
        </is>
      </c>
      <c r="C517" s="4" t="inlineStr">
        <is>
          <t>90</t>
        </is>
      </c>
      <c r="D517" s="4" t="inlineStr">
        <is>
          <t>TOEFL 90 (tests Jun 1, 2025-Jan 20, 2026) or 5 on the new scale with 4.5 Speaking/Writing; Duolingo not accepted</t>
        </is>
      </c>
      <c r="E517" s="4" t="inlineStr">
        <is>
          <t>Tests taken from June 1, 2025 to January 20, 2026: 90 minimum total score Tests taken on or after January 21, 2026: 5 minimum total score, with 4.5 minimum Speaking and Writ</t>
        </is>
      </c>
      <c r="F517" s="4" t="inlineStr">
        <is>
          <t>https://grad.berkeley.edu/admissions/application-process/requirements/</t>
        </is>
      </c>
      <c r="G517" s="4" t="inlineStr"/>
      <c r="H517" s="4" t="inlineStr">
        <is>
          <t>2026-10-21</t>
        </is>
      </c>
    </row>
    <row r="518">
      <c r="A518" s="4" t="inlineStr">
        <is>
          <t>University of California, Berkeley</t>
        </is>
      </c>
      <c r="B518" s="4" t="inlineStr">
        <is>
          <t>English-test waiver (English-medium degree)</t>
        </is>
      </c>
      <c r="C518" s="4" t="inlineStr">
        <is>
          <t>No</t>
        </is>
      </c>
      <c r="D518" s="4" t="inlineStr">
        <is>
          <t>Exemption depends on the country of your bachelor's institution; India is not on Berkeley's exempt list (a U.S.-accredited institution abroad would qualify)</t>
        </is>
      </c>
      <c r="E518" s="4" t="inlineStr">
        <is>
          <t>Applicants who have completed a bachelor’s degree or equivalent in a country or region where English is not the primary language used in both daily life and academic instruction must submit official proof of English language proficiency, unless they qualify for a TOEFL/IELTS exemption.</t>
        </is>
      </c>
      <c r="F518" s="4" t="inlineStr">
        <is>
          <t>https://grad.berkeley.edu/admissions/application-process/requirements/</t>
        </is>
      </c>
      <c r="G518" s="4" t="inlineStr"/>
      <c r="H518" s="4" t="inlineStr">
        <is>
          <t>2026-10-21</t>
        </is>
      </c>
    </row>
    <row r="519">
      <c r="A519" s="4" t="inlineStr">
        <is>
          <t>University of California, Berkeley</t>
        </is>
      </c>
      <c r="B519" s="4" t="inlineStr">
        <is>
          <t>Supervisor before admission</t>
        </is>
      </c>
      <c r="C519" s="4" t="inlineStr">
        <is>
          <t>Not stated</t>
        </is>
      </c>
      <c r="D519" s="4" t="inlineStr">
        <is>
          <t>No pre-application supervisor requirement mentioned</t>
        </is>
      </c>
      <c r="E519" s="4" t="inlineStr">
        <is>
          <t>(no statement found)</t>
        </is>
      </c>
      <c r="F519" s="4" t="inlineStr">
        <is>
          <t>https://physics.berkeley.edu/academic/graduate-degree/graduate-admissions</t>
        </is>
      </c>
      <c r="G519" s="4" t="inlineStr"/>
      <c r="H519" s="4" t="inlineStr">
        <is>
          <t>2026-10-21</t>
        </is>
      </c>
    </row>
    <row r="520">
      <c r="A520" s="4" t="inlineStr">
        <is>
          <t>University of California, Berkeley</t>
        </is>
      </c>
      <c r="B520" s="4" t="inlineStr">
        <is>
          <t>PhD funding</t>
        </is>
      </c>
      <c r="C520" s="4" t="inlineStr">
        <is>
          <t>Not stated</t>
        </is>
      </c>
      <c r="D520" s="4" t="inlineStr">
        <is>
          <t>Not stated on the admissions page checked</t>
        </is>
      </c>
      <c r="E520" s="4" t="inlineStr">
        <is>
          <t>(no statement found)</t>
        </is>
      </c>
      <c r="F520" s="4" t="inlineStr">
        <is>
          <t>https://physics.berkeley.edu/academic/graduate-degree/graduate-admissions</t>
        </is>
      </c>
      <c r="G520" s="4" t="inlineStr"/>
      <c r="H520" s="4" t="inlineStr">
        <is>
          <t>2026-10-21</t>
        </is>
      </c>
    </row>
    <row r="521">
      <c r="A521" s="4" t="inlineStr">
        <is>
          <t>University of California, Berkeley</t>
        </is>
      </c>
      <c r="B521" s="4" t="inlineStr">
        <is>
          <t>Entry route</t>
        </is>
      </c>
      <c r="C521" s="4" t="inlineStr">
        <is>
          <t>Not stated</t>
        </is>
      </c>
      <c r="D521" s="4" t="inlineStr">
        <is>
          <t>Not stated on the page checked</t>
        </is>
      </c>
      <c r="E521" s="4" t="inlineStr">
        <is>
          <t>(no statement found)</t>
        </is>
      </c>
      <c r="F521" s="4" t="inlineStr">
        <is>
          <t>https://physics.berkeley.edu/academic/graduate-degree/graduate-admissions</t>
        </is>
      </c>
      <c r="G521" s="4" t="inlineStr"/>
      <c r="H521" s="4" t="inlineStr">
        <is>
          <t>2026-10-21</t>
        </is>
      </c>
    </row>
    <row r="522">
      <c r="A522" s="4" t="inlineStr">
        <is>
          <t>University of California, Irvine</t>
        </is>
      </c>
      <c r="B522" s="4" t="inlineStr">
        <is>
          <t>Deadline (2027 entry)</t>
        </is>
      </c>
      <c r="C522" s="4" t="inlineStr">
        <is>
          <t>2026-12-15</t>
        </is>
      </c>
      <c r="D522" s="4" t="inlineStr">
        <is>
          <t>December 15 (year not given; inferred 2026 for Fall 2027); all materials due by the deadline</t>
        </is>
      </c>
      <c r="E522" s="4" t="inlineStr">
        <is>
          <t>The application deadline is December 15th. | Applicants should carefully check to make sure that all application materials are submitted by the December 15th deadline.</t>
        </is>
      </c>
      <c r="F522" s="4" t="inlineStr">
        <is>
          <t>https://www.physics.uci.edu/apply</t>
        </is>
      </c>
      <c r="G522" s="4" t="inlineStr">
        <is>
          <t>year inferred</t>
        </is>
      </c>
      <c r="H522" s="4" t="inlineStr">
        <is>
          <t>2026-10-21</t>
        </is>
      </c>
    </row>
    <row r="523">
      <c r="A523" s="4" t="inlineStr">
        <is>
          <t>University of California, Irvine</t>
        </is>
      </c>
      <c r="B523" s="4" t="inlineStr">
        <is>
          <t>Application fee</t>
        </is>
      </c>
      <c r="C523" s="4" t="inlineStr">
        <is>
          <t>155 USD</t>
        </is>
      </c>
      <c r="D523" s="4" t="inlineStr">
        <is>
          <t>USD 155 for international applicants (USD 135 U.S./PR)</t>
        </is>
      </c>
      <c r="E523" s="4" t="inlineStr">
        <is>
          <t>International Applicants: $155  ||  The application fee is $135 for U.S. citizens and U.S. permanent residents, and $155 for all international applicants. (https://grad.uci.edu/admissions/application-fee-fee-waivers/)</t>
        </is>
      </c>
      <c r="F523" s="4" t="inlineStr">
        <is>
          <t>https://www.physics.uci.edu/apply</t>
        </is>
      </c>
      <c r="G523" s="4" t="inlineStr"/>
      <c r="H523" s="4" t="inlineStr">
        <is>
          <t>2026-10-21</t>
        </is>
      </c>
    </row>
    <row r="524">
      <c r="A524" s="4" t="inlineStr">
        <is>
          <t>University of California, Irvine</t>
        </is>
      </c>
      <c r="B524" s="4" t="inlineStr">
        <is>
          <t>Intl fee waiver</t>
        </is>
      </c>
      <c r="C524" s="4" t="inlineStr">
        <is>
          <t>Domestic only</t>
        </is>
      </c>
      <c r="D524" s="4" t="inlineStr">
        <is>
          <t>International applicants are not eligible for fee waivers (no exceptions); waivers are for U.S. citizens, permanent residents and DACA/AB540 only</t>
        </is>
      </c>
      <c r="E524" s="4" t="inlineStr">
        <is>
          <t>Foreign applicants are NOT eligible for graduate application fee waivers - no exceptions.  ||  They are open to U.S. citizens, permanent residents, and DACA/AB540 eligible only; international students are not eligible. (https://grad.uci.edu/admissions/application-fee-fee-waivers/)</t>
        </is>
      </c>
      <c r="F524" s="4" t="inlineStr">
        <is>
          <t>https://www.physics.uci.edu/apply</t>
        </is>
      </c>
      <c r="G524" s="4" t="inlineStr"/>
      <c r="H524" s="4" t="inlineStr">
        <is>
          <t>2026-10-21</t>
        </is>
      </c>
    </row>
    <row r="525">
      <c r="A525" s="4" t="inlineStr">
        <is>
          <t>University of California, Irvine</t>
        </is>
      </c>
      <c r="B525" s="4" t="inlineStr">
        <is>
          <t>GRE General</t>
        </is>
      </c>
      <c r="C525" s="4" t="inlineStr">
        <is>
          <t>Not considered</t>
        </is>
      </c>
      <c r="D525" s="4" t="inlineStr">
        <is>
          <t>Department does not accept GRE scores; they must not be included or mentioned</t>
        </is>
      </c>
      <c r="E525" s="4" t="inlineStr">
        <is>
          <t>***PLEASE NOTE WE ARE NOT ACCEPTING GRE SCORES. GRE scores must not be included in the application, nor should any reference to them be made anywhere in the application.</t>
        </is>
      </c>
      <c r="F525" s="4" t="inlineStr">
        <is>
          <t>https://www.physics.uci.edu/apply</t>
        </is>
      </c>
      <c r="G525" s="4" t="inlineStr"/>
      <c r="H525" s="4" t="inlineStr">
        <is>
          <t>2026-10-21</t>
        </is>
      </c>
    </row>
    <row r="526">
      <c r="A526" s="4" t="inlineStr">
        <is>
          <t>University of California, Irvine</t>
        </is>
      </c>
      <c r="B526" s="4" t="inlineStr">
        <is>
          <t>Physics GRE</t>
        </is>
      </c>
      <c r="C526" s="4" t="inlineStr">
        <is>
          <t>Not considered</t>
        </is>
      </c>
      <c r="D526" s="4" t="inlineStr">
        <is>
          <t>Department does not accept GRE scores (no exception stated for the Physics GRE)</t>
        </is>
      </c>
      <c r="E526" s="4" t="inlineStr">
        <is>
          <t>***PLEASE NOTE WE ARE NOT ACCEPTING GRE SCORES. GRE scores must not be included in the application, nor should any reference to them be made anywhere in the application.</t>
        </is>
      </c>
      <c r="F526" s="4" t="inlineStr">
        <is>
          <t>https://www.physics.uci.edu/apply</t>
        </is>
      </c>
      <c r="G526" s="4" t="inlineStr"/>
      <c r="H526" s="4" t="inlineStr">
        <is>
          <t>2026-10-21</t>
        </is>
      </c>
    </row>
    <row r="527">
      <c r="A527" s="4" t="inlineStr">
        <is>
          <t>University of California, Irvine</t>
        </is>
      </c>
      <c r="B527" s="4" t="inlineStr">
        <is>
          <t>TOEFL minimum</t>
        </is>
      </c>
      <c r="C527" s="4" t="inlineStr">
        <is>
          <t>80</t>
        </is>
      </c>
      <c r="D527" s="4" t="inlineStr">
        <is>
          <t>TOEFL 80 (traditional) or 4 (new scale); IELTS 7 with no module below 6. Physics also requires internationals to be TA-eligible: TOEFL Speaking 26+ or IELTS Speaking 8+</t>
        </is>
      </c>
      <c r="E527" s="4" t="inlineStr">
        <is>
          <t>An overall minimum score of 80 (traditional scale) or 4 (new scale, starting January 2026)  ||  International Student applicants are required to be eligible to serve as teaching assistants. Students with a score of 26 or higher on the Speaking component of the TOEFL iBT or a score of 8 or higher on the Speaking module of the IELTS are eligible to serve as teaching assistants. (https://www.physics.uci.edu/apply)</t>
        </is>
      </c>
      <c r="F527" s="4" t="inlineStr">
        <is>
          <t>https://grad.uci.edu/admissions/applying-to-uci/</t>
        </is>
      </c>
      <c r="G527" s="4" t="inlineStr"/>
      <c r="H527" s="4" t="inlineStr">
        <is>
          <t>2026-10-21</t>
        </is>
      </c>
    </row>
    <row r="528">
      <c r="A528" s="4" t="inlineStr">
        <is>
          <t>University of California, Irvine</t>
        </is>
      </c>
      <c r="B528" s="4" t="inlineStr">
        <is>
          <t>English-test waiver (English-medium degree)</t>
        </is>
      </c>
      <c r="C528" s="4" t="inlineStr">
        <is>
          <t>Conditional</t>
        </is>
      </c>
      <c r="D528" s="4" t="inlineStr">
        <is>
          <t>Waived only if your degree-granting institution is listed in WHED with English as the SOLE language of instruction; otherwise a test is required. The same WHED rule exempts from the TA oral-English test.</t>
        </is>
      </c>
      <c r="E528" s="4" t="inlineStr">
        <is>
          <t>Applicants are waived from the English Language Proficiency requirement if they have earned an undergraduate or master’s degree from an institution at which English was the sole language of instruction according to the World Higher Education Database (WHED). | If English is not the sole language of instruction listed or if no language is listed at all, the waiver does not apply and the applicant is required to take and pass an approved English proficiency test.  ||  All graduate students, except those who have earned an undergraduate degree from an institution at which English was the sole language of instruction according to the World Higher Education Database, are required to demonstrate oral English proficiency before they are appointed to Teaching Assistant or Teaching Associate titles. (https://grad.uci.edu/funding/teaching-assistantships/)</t>
        </is>
      </c>
      <c r="F528" s="4" t="inlineStr">
        <is>
          <t>https://grad.uci.edu/admissions/applying-to-uci/</t>
        </is>
      </c>
      <c r="G528" s="4" t="inlineStr"/>
      <c r="H528" s="4" t="inlineStr">
        <is>
          <t>2026-10-21</t>
        </is>
      </c>
    </row>
    <row r="529">
      <c r="A529" s="4" t="inlineStr">
        <is>
          <t>University of California, Irvine</t>
        </is>
      </c>
      <c r="B529" s="4" t="inlineStr">
        <is>
          <t>Supervisor before admission</t>
        </is>
      </c>
      <c r="C529" s="4" t="inlineStr">
        <is>
          <t>Not stated</t>
        </is>
      </c>
      <c r="D529" s="4" t="inlineStr">
        <is>
          <t>No pre-application supervisor requirement mentioned</t>
        </is>
      </c>
      <c r="E529" s="4" t="inlineStr">
        <is>
          <t>(no statement found)</t>
        </is>
      </c>
      <c r="F529" s="4" t="inlineStr">
        <is>
          <t>https://www.physics.uci.edu/apply</t>
        </is>
      </c>
      <c r="G529" s="4" t="inlineStr"/>
      <c r="H529" s="4" t="inlineStr">
        <is>
          <t>2026-10-21</t>
        </is>
      </c>
    </row>
    <row r="530">
      <c r="A530" s="4" t="inlineStr">
        <is>
          <t>University of California, Irvine</t>
        </is>
      </c>
      <c r="B530" s="4" t="inlineStr">
        <is>
          <t>PhD funding</t>
        </is>
      </c>
      <c r="C530" s="4" t="inlineStr">
        <is>
          <t>Not stated</t>
        </is>
      </c>
      <c r="D530" s="4" t="inlineStr">
        <is>
          <t>Not stated on the pages checked (catalogue lists TA, RA and fellowship support without a guarantee)</t>
        </is>
      </c>
      <c r="E530" s="4" t="inlineStr">
        <is>
          <t>(no statement found)</t>
        </is>
      </c>
      <c r="F530" s="4" t="inlineStr">
        <is>
          <t>https://www.physics.uci.edu/apply</t>
        </is>
      </c>
      <c r="G530" s="4" t="inlineStr"/>
      <c r="H530" s="4" t="inlineStr">
        <is>
          <t>2026-10-21</t>
        </is>
      </c>
    </row>
    <row r="531">
      <c r="A531" s="4" t="inlineStr">
        <is>
          <t>University of California, Irvine</t>
        </is>
      </c>
      <c r="B531" s="4" t="inlineStr">
        <is>
          <t>Entry route</t>
        </is>
      </c>
      <c r="C531" s="4" t="inlineStr">
        <is>
          <t>Direct from bachelor's</t>
        </is>
      </c>
      <c r="D531" s="4" t="inlineStr">
        <is>
          <t>Students without a prior master's are admitted and take more coursework (11 quarter courses vs 4 with a master's)</t>
        </is>
      </c>
      <c r="E531" s="4" t="inlineStr">
        <is>
          <t>Students who do not have a prior Master's degree (or other equivalent degree) in Physics from UCI or another institution must take a minimum of 11 quarter courses</t>
        </is>
      </c>
      <c r="F531" s="4" t="inlineStr">
        <is>
          <t>https://catalogue.uci.edu/schoolofphysicalsciences/departmentofphysicsandastronomy/physics_phd/</t>
        </is>
      </c>
      <c r="G531" s="4" t="inlineStr"/>
      <c r="H531" s="4" t="inlineStr">
        <is>
          <t>2026-10-21</t>
        </is>
      </c>
    </row>
    <row r="532">
      <c r="A532" s="4" t="inlineStr">
        <is>
          <t>University of California, Los Angeles</t>
        </is>
      </c>
      <c r="B532" s="4" t="inlineStr">
        <is>
          <t>Deadline (2027 entry)</t>
        </is>
      </c>
      <c r="C532" s="4" t="inlineStr">
        <is>
          <t>2026-12-15</t>
        </is>
      </c>
      <c r="D532" s="4" t="inlineStr">
        <is>
          <t>December 15, 2026 (Fall admission only)</t>
        </is>
      </c>
      <c r="E532" s="4" t="inlineStr">
        <is>
          <t>Deadlines to apply | December 15, 2026</t>
        </is>
      </c>
      <c r="F532" s="4" t="inlineStr">
        <is>
          <t>https://grad.ucla.edu/requirements/?app=admission&amp;major=0666</t>
        </is>
      </c>
      <c r="G532" s="4" t="inlineStr"/>
      <c r="H532" s="4" t="inlineStr">
        <is>
          <t>2026-10-21</t>
        </is>
      </c>
    </row>
    <row r="533">
      <c r="A533" s="4" t="inlineStr">
        <is>
          <t>University of California, Los Angeles</t>
        </is>
      </c>
      <c r="B533" s="4" t="inlineStr">
        <is>
          <t>Application fee</t>
        </is>
      </c>
      <c r="C533" s="4" t="inlineStr">
        <is>
          <t>155 USD</t>
        </is>
      </c>
      <c r="D533" s="4" t="inlineStr">
        <is>
          <t>USD 155 for applicants who are not U.S. citizens or permanent residents (USD 135 U.S./PR)</t>
        </is>
      </c>
      <c r="E533" s="4" t="inlineStr">
        <is>
          <t>Application Fees | $135.00: U.S. citizens and Permanent Residents | $155.00: All other applicants  ||  or $155 [for all other applicants] (https://grad.ucla.edu/admissions/faqs/)</t>
        </is>
      </c>
      <c r="F533" s="4" t="inlineStr">
        <is>
          <t>https://grad.ucla.edu/admissions/research-requirements/</t>
        </is>
      </c>
      <c r="G533" s="4" t="inlineStr"/>
      <c r="H533" s="4" t="inlineStr">
        <is>
          <t>2026-10-21</t>
        </is>
      </c>
    </row>
    <row r="534">
      <c r="A534" s="4" t="inlineStr">
        <is>
          <t>University of California, Los Angeles</t>
        </is>
      </c>
      <c r="B534" s="4" t="inlineStr">
        <is>
          <t>Intl fee waiver</t>
        </is>
      </c>
      <c r="C534" s="4" t="inlineStr">
        <is>
          <t>Limited</t>
        </is>
      </c>
      <c r="D534" s="4" t="inlineStr">
        <is>
          <t>Need-based waivers are for U.S. citizens/PRs and others who meet criteria; a non-citizen must be receiving need-based aid from the state of California. Event-based waivers exist for in-person attendees at designated recruitment events (no citizenship rule stated).</t>
        </is>
      </c>
      <c r="E534" s="4" t="inlineStr">
        <is>
          <t>Waivers of UCLA’s application fee are available for U.S. citizens, Permanent Residents and others who demonstrate financial need by meeting the following criteria: | if not a U.S. citizen or Permanent Resident, this financial aid must come from the state of California | Event-based waivers may waive the 2026-2027 application fee for PhD and state-supported doctoral programs. | Only attendees at in-person events are eligible to receive this fee waiver.</t>
        </is>
      </c>
      <c r="F534" s="4" t="inlineStr">
        <is>
          <t>https://grad.ucla.edu/admissions/research-requirements/</t>
        </is>
      </c>
      <c r="G534" s="4" t="inlineStr"/>
      <c r="H534" s="4" t="inlineStr">
        <is>
          <t>2026-10-21</t>
        </is>
      </c>
    </row>
    <row r="535">
      <c r="A535" s="4" t="inlineStr">
        <is>
          <t>University of California, Los Angeles</t>
        </is>
      </c>
      <c r="B535" s="4" t="inlineStr">
        <is>
          <t>GRE General</t>
        </is>
      </c>
      <c r="C535" s="4" t="inlineStr">
        <is>
          <t>Not required</t>
        </is>
      </c>
      <c r="D535" s="4" t="inlineStr">
        <is>
          <t>General GRE accepted but not required</t>
        </is>
      </c>
      <c r="E535" s="4" t="inlineStr">
        <is>
          <t>GRE General exam will be accepted but is not required</t>
        </is>
      </c>
      <c r="F535" s="4" t="inlineStr">
        <is>
          <t>https://grad.ucla.edu/requirements/?app=admission&amp;major=0666</t>
        </is>
      </c>
      <c r="G535" s="4" t="inlineStr"/>
      <c r="H535" s="4" t="inlineStr">
        <is>
          <t>2026-10-21</t>
        </is>
      </c>
    </row>
    <row r="536">
      <c r="A536" s="4" t="inlineStr">
        <is>
          <t>University of California, Los Angeles</t>
        </is>
      </c>
      <c r="B536" s="4" t="inlineStr">
        <is>
          <t>Physics GRE</t>
        </is>
      </c>
      <c r="C536" s="4" t="inlineStr">
        <is>
          <t>Recommended</t>
        </is>
      </c>
      <c r="D536" s="4" t="inlineStr">
        <is>
          <t>Physics GRE strongly recommended</t>
        </is>
      </c>
      <c r="E536" s="4" t="inlineStr">
        <is>
          <t>GRE: Subject in Physics is strongly recommended.</t>
        </is>
      </c>
      <c r="F536" s="4" t="inlineStr">
        <is>
          <t>https://grad.ucla.edu/requirements/?app=admission&amp;major=0666</t>
        </is>
      </c>
      <c r="G536" s="4" t="inlineStr"/>
      <c r="H536" s="4" t="inlineStr">
        <is>
          <t>2026-10-21</t>
        </is>
      </c>
    </row>
    <row r="537">
      <c r="A537" s="4" t="inlineStr">
        <is>
          <t>University of California, Los Angeles</t>
        </is>
      </c>
      <c r="B537" s="4" t="inlineStr">
        <is>
          <t>TOEFL minimum</t>
        </is>
      </c>
      <c r="C537" s="4" t="inlineStr">
        <is>
          <t>87</t>
        </is>
      </c>
      <c r="D537" s="4" t="inlineStr">
        <is>
          <t>TOEFL iBT 87 (before Jan 21, 2026) or 4.5 (new scale); IELTS Academic 7.0; scores under 100 / 5 / IELTS 7.5 trigger the ESLPE on arrival</t>
        </is>
      </c>
      <c r="E537" s="4" t="inlineStr">
        <is>
          <t>Minimum overall score on TOEFL iBT: 87 (for exams taken before January 21, 2026) or 4.5 (for exams taken on or after January 21, 2026). | Minimum overall band score on IELTS Academic: 7.0.</t>
        </is>
      </c>
      <c r="F537" s="4" t="inlineStr">
        <is>
          <t>https://grad.ucla.edu/admissions/english-requirements/</t>
        </is>
      </c>
      <c r="G537" s="4" t="inlineStr"/>
      <c r="H537" s="4" t="inlineStr">
        <is>
          <t>2026-10-21</t>
        </is>
      </c>
    </row>
    <row r="538">
      <c r="A538" s="4" t="inlineStr">
        <is>
          <t>University of California, Los Angeles</t>
        </is>
      </c>
      <c r="B538" s="4" t="inlineStr">
        <is>
          <t>English-test waiver (English-medium degree)</t>
        </is>
      </c>
      <c r="C538" s="4" t="inlineStr">
        <is>
          <t>Check tool</t>
        </is>
      </c>
      <c r="D538" s="4" t="inlineStr">
        <is>
          <t>Exempt only with a bachelor’s from the U.S. or a country where English is the SOLE language of instruction according to the World Higher Education Database (WHED); the UCLA page lists no countries, so Indian applicants must check WHED (likely not exempt, since India is multilingual)</t>
        </is>
      </c>
      <c r="E538" s="4" t="inlineStr">
        <is>
          <t>Prior education – A bachelor’s degree or higher from an accredited university located in the United States or in another country where English is the sole language of instruction according to the World Higher Education Database (WHED).</t>
        </is>
      </c>
      <c r="F538" s="4" t="inlineStr">
        <is>
          <t>https://grad.ucla.edu/admissions/english-requirements/</t>
        </is>
      </c>
      <c r="G538" s="4" t="inlineStr"/>
      <c r="H538" s="4" t="inlineStr">
        <is>
          <t>2026-10-21</t>
        </is>
      </c>
    </row>
    <row r="539">
      <c r="A539" s="4" t="inlineStr">
        <is>
          <t>University of California, Los Angeles</t>
        </is>
      </c>
      <c r="B539" s="4" t="inlineStr">
        <is>
          <t>Supervisor before admission</t>
        </is>
      </c>
      <c r="C539" s="4" t="inlineStr">
        <is>
          <t>Not stated</t>
        </is>
      </c>
      <c r="D539" s="4" t="inlineStr">
        <is>
          <t>No pre-application supervisor requirement mentioned; statement of purpose may name potential faculty mentors</t>
        </is>
      </c>
      <c r="E539" s="4" t="inlineStr">
        <is>
          <t>(no statement found)</t>
        </is>
      </c>
      <c r="F539" s="4" t="inlineStr">
        <is>
          <t>https://grad.ucla.edu/requirements/?app=admission&amp;major=0666</t>
        </is>
      </c>
      <c r="G539" s="4" t="inlineStr"/>
      <c r="H539" s="4" t="inlineStr">
        <is>
          <t>2026-10-21</t>
        </is>
      </c>
    </row>
    <row r="540">
      <c r="A540" s="4" t="inlineStr">
        <is>
          <t>University of California, Los Angeles</t>
        </is>
      </c>
      <c r="B540" s="4" t="inlineStr">
        <is>
          <t>PhD funding</t>
        </is>
      </c>
      <c r="C540" s="4" t="inlineStr">
        <is>
          <t>Not stated</t>
        </is>
      </c>
      <c r="D540" s="4" t="inlineStr">
        <is>
          <t>Not stated on the page checked</t>
        </is>
      </c>
      <c r="E540" s="4" t="inlineStr">
        <is>
          <t>(no statement found)</t>
        </is>
      </c>
      <c r="F540" s="4" t="inlineStr">
        <is>
          <t>https://grad.ucla.edu/requirements/?app=admission&amp;major=0666</t>
        </is>
      </c>
      <c r="G540" s="4" t="inlineStr"/>
      <c r="H540" s="4" t="inlineStr">
        <is>
          <t>2026-10-21</t>
        </is>
      </c>
    </row>
    <row r="541">
      <c r="A541" s="4" t="inlineStr">
        <is>
          <t>University of California, Los Angeles</t>
        </is>
      </c>
      <c r="B541" s="4" t="inlineStr">
        <is>
          <t>Entry route</t>
        </is>
      </c>
      <c r="C541" s="4" t="inlineStr">
        <is>
          <t>Not stated</t>
        </is>
      </c>
      <c r="D541" s="4" t="inlineStr">
        <is>
          <t>Not stated on the page checked (program admits only Ph.D. applicants; master’s available on the doctoral track)</t>
        </is>
      </c>
      <c r="E541" s="4" t="inlineStr">
        <is>
          <t>(no statement found)</t>
        </is>
      </c>
      <c r="F541" s="4" t="inlineStr">
        <is>
          <t>https://grad.ucla.edu/requirements/?app=admission&amp;major=0666</t>
        </is>
      </c>
      <c r="G541" s="4" t="inlineStr"/>
      <c r="H541" s="4" t="inlineStr">
        <is>
          <t>2026-10-21</t>
        </is>
      </c>
    </row>
    <row r="542">
      <c r="A542" s="4" t="inlineStr">
        <is>
          <t>University of California, Santa Barbara</t>
        </is>
      </c>
      <c r="B542" s="4" t="inlineStr">
        <is>
          <t>Deadline (2027 entry)</t>
        </is>
      </c>
      <c r="C542" s="4" t="inlineStr">
        <is>
          <t>2026-12-16</t>
        </is>
      </c>
      <c r="D542" s="4" t="inlineStr">
        <is>
          <t>December 16, 2026, 11:59 PM PST (Fall quarter only)</t>
        </is>
      </c>
      <c r="E542" s="4" t="inlineStr">
        <is>
          <t>For the 2027 admissions cycle, the deadline is December 16, 2026 by 11:59 PM Pacific Standard Time (PST).</t>
        </is>
      </c>
      <c r="F542" s="4" t="inlineStr">
        <is>
          <t>https://www.physics.ucsb.edu/academics/graduate/apply</t>
        </is>
      </c>
      <c r="G542" s="4" t="inlineStr"/>
      <c r="H542" s="4" t="inlineStr">
        <is>
          <t>2026-10-21</t>
        </is>
      </c>
    </row>
    <row r="543">
      <c r="A543" s="4" t="inlineStr">
        <is>
          <t>University of California, Santa Barbara</t>
        </is>
      </c>
      <c r="B543" s="4" t="inlineStr">
        <is>
          <t>Application fee</t>
        </is>
      </c>
      <c r="C543" s="4" t="inlineStr">
        <is>
          <t>155 USD</t>
        </is>
      </c>
      <c r="D543" s="4" t="inlineStr">
        <is>
          <t>USD 155 for non-U.S. applicants (2026 figure; USD 135 U.S./PR)</t>
        </is>
      </c>
      <c r="E543" s="4" t="inlineStr">
        <is>
          <t>The non-refundable graduate application fee is $135.00 for US citizens and Permanent Residents; and $155.00 for all others</t>
        </is>
      </c>
      <c r="F543" s="4" t="inlineStr">
        <is>
          <t>https://www.graddiv.ucsb.edu/admissions/faqs-applicants</t>
        </is>
      </c>
      <c r="G543" s="4" t="inlineStr"/>
      <c r="H543" s="4" t="inlineStr">
        <is>
          <t>2026-10-21</t>
        </is>
      </c>
    </row>
    <row r="544">
      <c r="A544" s="4" t="inlineStr">
        <is>
          <t>University of California, Santa Barbara</t>
        </is>
      </c>
      <c r="B544" s="4" t="inlineStr">
        <is>
          <t>Intl fee waiver</t>
        </is>
      </c>
      <c r="C544" s="4" t="inlineStr">
        <is>
          <t>Domestic only</t>
        </is>
      </c>
      <c r="D544" s="4" t="inlineStr">
        <is>
          <t>Fee waivers are not available to international applicants</t>
        </is>
      </c>
      <c r="E544" s="4" t="inlineStr">
        <is>
          <t>A limited number of fee waivers are available for qualified US citizens and permanent residents. Fee waivers are not available to international applicants.</t>
        </is>
      </c>
      <c r="F544" s="4" t="inlineStr">
        <is>
          <t>https://www.graddiv.ucsb.edu/admissions/faqs-applicants</t>
        </is>
      </c>
      <c r="G544" s="4" t="inlineStr"/>
      <c r="H544" s="4" t="inlineStr">
        <is>
          <t>2026-10-21</t>
        </is>
      </c>
    </row>
    <row r="545">
      <c r="A545" s="4" t="inlineStr">
        <is>
          <t>University of California, Santa Barbara</t>
        </is>
      </c>
      <c r="B545" s="4" t="inlineStr">
        <is>
          <t>GRE General</t>
        </is>
      </c>
      <c r="C545" s="4" t="inlineStr">
        <is>
          <t>Not considered</t>
        </is>
      </c>
      <c r="D545" s="4" t="inlineStr">
        <is>
          <t>Not required and will not be accepted for 2027</t>
        </is>
      </c>
      <c r="E545" s="4" t="inlineStr">
        <is>
          <t>2027 Applicants: GRE scores are not required and will not be accepted.</t>
        </is>
      </c>
      <c r="F545" s="4" t="inlineStr">
        <is>
          <t>https://www.physics.ucsb.edu/academics/graduate/apply</t>
        </is>
      </c>
      <c r="G545" s="4" t="inlineStr"/>
      <c r="H545" s="4" t="inlineStr">
        <is>
          <t>2026-10-21</t>
        </is>
      </c>
    </row>
    <row r="546">
      <c r="A546" s="4" t="inlineStr">
        <is>
          <t>University of California, Santa Barbara</t>
        </is>
      </c>
      <c r="B546" s="4" t="inlineStr">
        <is>
          <t>Physics GRE</t>
        </is>
      </c>
      <c r="C546" s="4" t="inlineStr">
        <is>
          <t>Not considered</t>
        </is>
      </c>
      <c r="D546" s="4" t="inlineStr">
        <is>
          <t>Not required and will not be accepted for 2027</t>
        </is>
      </c>
      <c r="E546" s="4" t="inlineStr">
        <is>
          <t>2027 Applicants: GRE scores are not required and will not be accepted.</t>
        </is>
      </c>
      <c r="F546" s="4" t="inlineStr">
        <is>
          <t>https://www.physics.ucsb.edu/academics/graduate/apply</t>
        </is>
      </c>
      <c r="G546" s="4" t="inlineStr"/>
      <c r="H546" s="4" t="inlineStr">
        <is>
          <t>2026-10-21</t>
        </is>
      </c>
    </row>
    <row r="547">
      <c r="A547" s="4" t="inlineStr">
        <is>
          <t>University of California, Santa Barbara</t>
        </is>
      </c>
      <c r="B547" s="4" t="inlineStr">
        <is>
          <t>TOEFL minimum</t>
        </is>
      </c>
      <c r="C547" s="4" t="inlineStr">
        <is>
          <t>80</t>
        </is>
      </c>
      <c r="D547" s="4" t="inlineStr">
        <is>
          <t>TOEFL 80 (before 1/21/2026) or 4.0 (new scale); IELTS 7; Duolingo 120</t>
        </is>
      </c>
      <c r="E547" s="4" t="inlineStr">
        <is>
          <t>TOEFL internet-based test (iBT) and TOEFL iBT Home Edition 80 (exams taken before 1/21/2026) or 4.0 (exams taken on or after 1/21/2026) IELTS Academic and IELTS Indicator Overall Band Score of 7 Duolingo English Test (DET) 120</t>
        </is>
      </c>
      <c r="F547" s="4" t="inlineStr">
        <is>
          <t>https://www.physics.ucsb.edu/academics/graduate/apply</t>
        </is>
      </c>
      <c r="G547" s="4" t="inlineStr"/>
      <c r="H547" s="4" t="inlineStr">
        <is>
          <t>2026-10-21</t>
        </is>
      </c>
    </row>
    <row r="548">
      <c r="A548" s="4" t="inlineStr">
        <is>
          <t>University of California, Santa Barbara</t>
        </is>
      </c>
      <c r="B548" s="4" t="inlineStr">
        <is>
          <t>English-test waiver (English-medium degree)</t>
        </is>
      </c>
      <c r="C548" s="4" t="inlineStr">
        <is>
          <t>Not stated</t>
        </is>
      </c>
      <c r="D548" s="4" t="inlineStr">
        <is>
          <t>Required if native language is not English; exemptions not shown on the page checked</t>
        </is>
      </c>
      <c r="E548" s="4" t="inlineStr">
        <is>
          <t>Applicants whose native language is not English are required to take the Test of English as a Foreign Language (TOEFL), the International English Language Testing System (IELTS), or the Duolingo English Test (DET).</t>
        </is>
      </c>
      <c r="F548" s="4" t="inlineStr">
        <is>
          <t>https://www.physics.ucsb.edu/academics/graduate/apply</t>
        </is>
      </c>
      <c r="G548" s="4" t="inlineStr"/>
      <c r="H548" s="4" t="inlineStr">
        <is>
          <t>2026-10-21</t>
        </is>
      </c>
    </row>
    <row r="549">
      <c r="A549" s="4" t="inlineStr">
        <is>
          <t>University of California, Santa Barbara</t>
        </is>
      </c>
      <c r="B549" s="4" t="inlineStr">
        <is>
          <t>Supervisor before admission</t>
        </is>
      </c>
      <c r="C549" s="4" t="inlineStr">
        <is>
          <t>Recommended</t>
        </is>
      </c>
      <c r="D549" s="4" t="inlineStr">
        <is>
          <t>Strongly encouraged to contact faculty early and list potential advisors</t>
        </is>
      </c>
      <c r="E549" s="4" t="inlineStr">
        <is>
          <t>Applicants are strongly encouraged to contact individual faculty members whose research interests align with their own early in the application process and to list potential advisors on their applications.</t>
        </is>
      </c>
      <c r="F549" s="4" t="inlineStr">
        <is>
          <t>https://www.physics.ucsb.edu/academics/graduate/apply</t>
        </is>
      </c>
      <c r="G549" s="4" t="inlineStr"/>
      <c r="H549" s="4" t="inlineStr">
        <is>
          <t>2026-10-21</t>
        </is>
      </c>
    </row>
    <row r="550">
      <c r="A550" s="4" t="inlineStr">
        <is>
          <t>University of California, Santa Barbara</t>
        </is>
      </c>
      <c r="B550" s="4" t="inlineStr">
        <is>
          <t>PhD funding</t>
        </is>
      </c>
      <c r="C550" s="4" t="inlineStr">
        <is>
          <t>Not stated</t>
        </is>
      </c>
      <c r="D550" s="4" t="inlineStr">
        <is>
          <t>Not stated on the page checked</t>
        </is>
      </c>
      <c r="E550" s="4" t="inlineStr">
        <is>
          <t>(no statement found)</t>
        </is>
      </c>
      <c r="F550" s="4" t="inlineStr">
        <is>
          <t>https://www.physics.ucsb.edu/academics/graduate/apply</t>
        </is>
      </c>
      <c r="G550" s="4" t="inlineStr"/>
      <c r="H550" s="4" t="inlineStr">
        <is>
          <t>2026-10-21</t>
        </is>
      </c>
    </row>
    <row r="551">
      <c r="A551" s="4" t="inlineStr">
        <is>
          <t>University of California, Santa Barbara</t>
        </is>
      </c>
      <c r="B551" s="4" t="inlineStr">
        <is>
          <t>Entry route</t>
        </is>
      </c>
      <c r="C551" s="4" t="inlineStr">
        <is>
          <t>Not stated</t>
        </is>
      </c>
      <c r="D551" s="4" t="inlineStr">
        <is>
          <t>Not stated on the page checked</t>
        </is>
      </c>
      <c r="E551" s="4" t="inlineStr">
        <is>
          <t>(no statement found)</t>
        </is>
      </c>
      <c r="F551" s="4" t="inlineStr">
        <is>
          <t>https://www.physics.ucsb.edu/academics/graduate/apply</t>
        </is>
      </c>
      <c r="G551" s="4" t="inlineStr"/>
      <c r="H551" s="4" t="inlineStr">
        <is>
          <t>2026-10-21</t>
        </is>
      </c>
    </row>
    <row r="552">
      <c r="A552" s="4" t="inlineStr">
        <is>
          <t>University of Cambridge</t>
        </is>
      </c>
      <c r="B552" s="4" t="inlineStr">
        <is>
          <t>Deadline (2027 entry)</t>
        </is>
      </c>
      <c r="C552" s="4" t="inlineStr">
        <is>
          <t>2026-12-08</t>
        </is>
      </c>
      <c r="D552" s="4" t="inlineStr">
        <is>
          <t>Course funding deadline Dec 8, 2026 (Gates Cambridge US round Oct 14, 2026). Final application deadline May 13, 2027 for an October 2027 start, but too late for university funding.</t>
        </is>
      </c>
      <c r="E552" s="4" t="inlineStr">
        <is>
          <t>Funding Deadlines Course Funding Deadline Dec. 8, 2026 | Michaelmas 2027 Applications open Sep. 9, 2026 Application deadline May. 13, 2027 Course starts Oct. 1, 2027</t>
        </is>
      </c>
      <c r="F552" s="4" t="inlineStr">
        <is>
          <t>https://www.postgraduate.study.cam.ac.uk/courses/directory/pcphpdphy</t>
        </is>
      </c>
      <c r="G552" s="4" t="inlineStr"/>
      <c r="H552" s="4" t="inlineStr">
        <is>
          <t>2026-10-21</t>
        </is>
      </c>
    </row>
    <row r="553">
      <c r="A553" s="4" t="inlineStr">
        <is>
          <t>University of Cambridge</t>
        </is>
      </c>
      <c r="B553" s="4" t="inlineStr">
        <is>
          <t>Application fee</t>
        </is>
      </c>
      <c r="C553" s="4" t="inlineStr">
        <is>
          <t>20 GBP</t>
        </is>
      </c>
      <c r="D553" s="4" t="inlineStr">
        <is>
          <t>GBP 20 per applicant per year of entry for doctoral courses (up to 7 applications)</t>
        </is>
      </c>
      <c r="E553" s="4" t="inlineStr">
        <is>
          <t>Doctoral courses (including combined MRes + PhD courses): £20 per applicant, per academic year of entry. You can submit up to a maximum of 7 applications.</t>
        </is>
      </c>
      <c r="F553" s="4" t="inlineStr">
        <is>
          <t>https://www.postgraduate.study.cam.ac.uk/apply/how/application-fee</t>
        </is>
      </c>
      <c r="G553" s="4" t="inlineStr"/>
      <c r="H553" s="4" t="inlineStr">
        <is>
          <t>2026-10-21</t>
        </is>
      </c>
    </row>
    <row r="554">
      <c r="A554" s="4" t="inlineStr">
        <is>
          <t>University of Cambridge</t>
        </is>
      </c>
      <c r="B554" s="4" t="inlineStr">
        <is>
          <t>Intl fee waiver</t>
        </is>
      </c>
      <c r="C554" s="4" t="inlineStr">
        <is>
          <t>Limited</t>
        </is>
      </c>
      <c r="D554" s="4" t="inlineStr">
        <is>
          <t>A waiver exists for eligible applicants; eligibility criteria not shown on the page checked</t>
        </is>
      </c>
      <c r="E554" s="4" t="inlineStr">
        <is>
          <t>You need to pay an application fee when you apply for a postgraduate course at Cambridge, unless you are eligible for an application fee waiver.</t>
        </is>
      </c>
      <c r="F554" s="4" t="inlineStr">
        <is>
          <t>https://www.postgraduate.study.cam.ac.uk/apply/how/application-fee</t>
        </is>
      </c>
      <c r="G554" s="4" t="inlineStr"/>
      <c r="H554" s="4" t="inlineStr">
        <is>
          <t>2026-10-21</t>
        </is>
      </c>
    </row>
    <row r="555">
      <c r="A555" s="4" t="inlineStr">
        <is>
          <t>University of Cambridge</t>
        </is>
      </c>
      <c r="B555" s="4" t="inlineStr">
        <is>
          <t>GRE General</t>
        </is>
      </c>
      <c r="C555" s="4" t="inlineStr">
        <is>
          <t>Not stated</t>
        </is>
      </c>
      <c r="D555" s="4" t="inlineStr">
        <is>
          <t>No GRE requirement listed on the pages checked</t>
        </is>
      </c>
      <c r="E555" s="4" t="inlineStr">
        <is>
          <t>(no statement found)</t>
        </is>
      </c>
      <c r="F555" s="4" t="inlineStr">
        <is>
          <t>https://www.postgraduate.study.cam.ac.uk/courses/directory/pcphpdphy</t>
        </is>
      </c>
      <c r="G555" s="4" t="inlineStr"/>
      <c r="H555" s="4" t="inlineStr">
        <is>
          <t>2026-10-21</t>
        </is>
      </c>
    </row>
    <row r="556">
      <c r="A556" s="4" t="inlineStr">
        <is>
          <t>University of Cambridge</t>
        </is>
      </c>
      <c r="B556" s="4" t="inlineStr">
        <is>
          <t>Physics GRE</t>
        </is>
      </c>
      <c r="C556" s="4" t="inlineStr">
        <is>
          <t>Not stated</t>
        </is>
      </c>
      <c r="D556" s="4" t="inlineStr">
        <is>
          <t>No GRE requirement listed on the pages checked</t>
        </is>
      </c>
      <c r="E556" s="4" t="inlineStr">
        <is>
          <t>(no statement found)</t>
        </is>
      </c>
      <c r="F556" s="4" t="inlineStr">
        <is>
          <t>https://www.postgraduate.study.cam.ac.uk/courses/directory/pcphpdphy</t>
        </is>
      </c>
      <c r="G556" s="4" t="inlineStr"/>
      <c r="H556" s="4" t="inlineStr">
        <is>
          <t>2026-10-21</t>
        </is>
      </c>
    </row>
    <row r="557">
      <c r="A557" s="4" t="inlineStr">
        <is>
          <t>University of Cambridge</t>
        </is>
      </c>
      <c r="B557" s="4" t="inlineStr">
        <is>
          <t>TOEFL minimum</t>
        </is>
      </c>
      <c r="C557" s="4" t="inlineStr">
        <is>
          <t>100</t>
        </is>
      </c>
      <c r="D557" s="4" t="inlineStr">
        <is>
          <t>TOEFL iBT 100 with 25 in each section; IELTS 7.0 overall (Listening/Writing/Speaking 7.0, Reading 6.5)</t>
        </is>
      </c>
      <c r="E557" s="4" t="inlineStr">
        <is>
          <t>TOEFL Internet Score Element Score Listening 25 Writing 25 Reading 25 Speaking 25 Total 100</t>
        </is>
      </c>
      <c r="F557" s="4" t="inlineStr">
        <is>
          <t>https://www.postgraduate.study.cam.ac.uk/courses/directory/pcphpdphy/requirements</t>
        </is>
      </c>
      <c r="G557" s="4" t="inlineStr"/>
      <c r="H557" s="4" t="inlineStr">
        <is>
          <t>2026-10-21</t>
        </is>
      </c>
    </row>
    <row r="558">
      <c r="A558" s="4" t="inlineStr">
        <is>
          <t>University of Cambridge</t>
        </is>
      </c>
      <c r="B558" s="4" t="inlineStr">
        <is>
          <t>English-test waiver (English-medium degree)</t>
        </is>
      </c>
      <c r="C558" s="4" t="inlineStr">
        <is>
          <t>No</t>
        </is>
      </c>
      <c r="D558" s="4" t="inlineStr">
        <is>
          <t>Exemption needs nationality of, or a degree from, a 'majority English-speaking country' (UKVI list); India is not on that list</t>
        </is>
      </c>
      <c r="E558" s="4" t="inlineStr">
        <is>
          <t>you are a national of a majority English-speaking country and were educated in such a country</t>
        </is>
      </c>
      <c r="F558" s="4" t="inlineStr">
        <is>
          <t>https://www.postgraduate.study.cam.ac.uk/apply/before/english-language-requirements</t>
        </is>
      </c>
      <c r="G558" s="4" t="inlineStr"/>
      <c r="H558" s="4" t="inlineStr">
        <is>
          <t>2026-10-21</t>
        </is>
      </c>
    </row>
    <row r="559">
      <c r="A559" s="4" t="inlineStr">
        <is>
          <t>University of Cambridge</t>
        </is>
      </c>
      <c r="B559" s="4" t="inlineStr">
        <is>
          <t>Supervisor before admission</t>
        </is>
      </c>
      <c r="C559" s="4" t="inlineStr">
        <is>
          <t>Recommended</t>
        </is>
      </c>
      <c r="D559" s="4" t="inlineStr">
        <is>
          <t>Some PhD programmes need supervisor contact before applying; a 2027-28 supervisor list is published</t>
        </is>
      </c>
      <c r="E559" s="4" t="inlineStr">
        <is>
          <t>For certain PhD and MPhil programmes, you may need to reach out to potential supervisors before applying.</t>
        </is>
      </c>
      <c r="F559" s="4" t="inlineStr">
        <is>
          <t>https://www.phy.cam.ac.uk/study/postgraduate/howtoapply/</t>
        </is>
      </c>
      <c r="G559" s="4" t="inlineStr"/>
      <c r="H559" s="4" t="inlineStr">
        <is>
          <t>2026-10-21</t>
        </is>
      </c>
    </row>
    <row r="560">
      <c r="A560" s="4" t="inlineStr">
        <is>
          <t>University of Cambridge</t>
        </is>
      </c>
      <c r="B560" s="4" t="inlineStr">
        <is>
          <t>PhD funding</t>
        </is>
      </c>
      <c r="C560" s="4" t="inlineStr">
        <is>
          <t>Competitive</t>
        </is>
      </c>
      <c r="D560" s="4" t="inlineStr">
        <is>
          <t>Not guaranteed: apply by the funding deadline to enter the University funding competition; otherwise secure your own support</t>
        </is>
      </c>
      <c r="E560" s="4" t="inlineStr">
        <is>
          <t>Secure financial support if not awarded funding.</t>
        </is>
      </c>
      <c r="F560" s="4" t="inlineStr">
        <is>
          <t>https://www.phy.cam.ac.uk/study/postgraduate/howtoapply/</t>
        </is>
      </c>
      <c r="G560" s="4" t="inlineStr"/>
      <c r="H560" s="4" t="inlineStr">
        <is>
          <t>2026-10-21</t>
        </is>
      </c>
    </row>
    <row r="561">
      <c r="A561" s="4" t="inlineStr">
        <is>
          <t>University of Cambridge</t>
        </is>
      </c>
      <c r="B561" s="4" t="inlineStr">
        <is>
          <t>Entry route</t>
        </is>
      </c>
      <c r="C561" s="4" t="inlineStr">
        <is>
          <t>Master's usually required</t>
        </is>
      </c>
      <c r="D561" s="4" t="inlineStr">
        <is>
          <t>Bachelor's-only holders normally also need a master's; India's 3-4 year bachelor's equivalency does not cover a UK master's</t>
        </is>
      </c>
      <c r="E561" s="4" t="inlineStr">
        <is>
          <t>For students who only hold a bachelor's degree, a master's degree is normally required as well.</t>
        </is>
      </c>
      <c r="F561" s="4" t="inlineStr">
        <is>
          <t>https://www.postgraduate.study.cam.ac.uk/courses/directory/pcphpdphy/requirements</t>
        </is>
      </c>
      <c r="G561" s="4" t="inlineStr"/>
      <c r="H561" s="4" t="inlineStr">
        <is>
          <t>2026-10-21</t>
        </is>
      </c>
    </row>
    <row r="562">
      <c r="A562" s="4" t="inlineStr">
        <is>
          <t>University of Chicago</t>
        </is>
      </c>
      <c r="B562" s="4" t="inlineStr">
        <is>
          <t>Deadline (2027 entry)</t>
        </is>
      </c>
      <c r="C562" s="4" t="inlineStr">
        <is>
          <t>2026-12-14</t>
        </is>
      </c>
      <c r="D562" s="4" t="inlineStr">
        <is>
          <t>December 14, 2026</t>
        </is>
      </c>
      <c r="E562" s="4" t="inlineStr">
        <is>
          <t>Application deadline is December 14, 2026.</t>
        </is>
      </c>
      <c r="F562" s="4" t="inlineStr">
        <is>
          <t>https://physicsrecruitment.psd.uchicago.edu/apply/</t>
        </is>
      </c>
      <c r="G562" s="4" t="inlineStr"/>
      <c r="H562" s="4" t="inlineStr">
        <is>
          <t>2026-10-21</t>
        </is>
      </c>
    </row>
    <row r="563">
      <c r="A563" s="4" t="inlineStr">
        <is>
          <t>University of Chicago</t>
        </is>
      </c>
      <c r="B563" s="4" t="inlineStr">
        <is>
          <t>Application fee</t>
        </is>
      </c>
      <c r="C563" s="4" t="inlineStr">
        <is>
          <t>90 USD</t>
        </is>
      </c>
      <c r="D563" s="4" t="inlineStr">
        <is>
          <t>USD 90 generally, non-refundable</t>
        </is>
      </c>
      <c r="E563" s="4" t="inlineStr">
        <is>
          <t>Generally, an application fee of $90 is required and non-refundable.</t>
        </is>
      </c>
      <c r="F563" s="4" t="inlineStr">
        <is>
          <t>https://physicalsciences.uchicago.edu/academics/application-requirements/</t>
        </is>
      </c>
      <c r="G563" s="4" t="inlineStr"/>
      <c r="H563" s="4" t="inlineStr">
        <is>
          <t>2026-10-21</t>
        </is>
      </c>
    </row>
    <row r="564">
      <c r="A564" s="4" t="inlineStr">
        <is>
          <t>University of Chicago</t>
        </is>
      </c>
      <c r="B564" s="4" t="inlineStr">
        <is>
          <t>Intl fee waiver</t>
        </is>
      </c>
      <c r="C564" s="4" t="inlineStr">
        <is>
          <t>Limited</t>
        </is>
      </c>
      <c r="D564" s="4" t="inlineStr">
        <is>
          <t>Specific fee-waiver categories exist (PSD); request through the application portal before paying</t>
        </is>
      </c>
      <c r="E564" s="4" t="inlineStr">
        <is>
          <t>Applicants may qualify for specific fee waivers.</t>
        </is>
      </c>
      <c r="F564" s="4" t="inlineStr">
        <is>
          <t>https://physicalsciences.uchicago.edu/academics/application-requirements/</t>
        </is>
      </c>
      <c r="G564" s="4" t="inlineStr"/>
      <c r="H564" s="4" t="inlineStr">
        <is>
          <t>2026-10-21</t>
        </is>
      </c>
    </row>
    <row r="565">
      <c r="A565" s="4" t="inlineStr">
        <is>
          <t>University of Chicago</t>
        </is>
      </c>
      <c r="B565" s="4" t="inlineStr">
        <is>
          <t>GRE General</t>
        </is>
      </c>
      <c r="C565" s="4" t="inlineStr">
        <is>
          <t>Not required</t>
        </is>
      </c>
      <c r="D565" s="4" t="inlineStr">
        <is>
          <t>General GRE not required</t>
        </is>
      </c>
      <c r="E565" s="4" t="inlineStr">
        <is>
          <t>The General GRE will not be required.</t>
        </is>
      </c>
      <c r="F565" s="4" t="inlineStr">
        <is>
          <t>https://physicsrecruitment.psd.uchicago.edu/apply/</t>
        </is>
      </c>
      <c r="G565" s="4" t="inlineStr"/>
      <c r="H565" s="4" t="inlineStr">
        <is>
          <t>2026-10-21</t>
        </is>
      </c>
    </row>
    <row r="566">
      <c r="A566" s="4" t="inlineStr">
        <is>
          <t>University of Chicago</t>
        </is>
      </c>
      <c r="B566" s="4" t="inlineStr">
        <is>
          <t>Physics GRE</t>
        </is>
      </c>
      <c r="C566" s="4" t="inlineStr">
        <is>
          <t>Required</t>
        </is>
      </c>
      <c r="D566" s="4" t="inlineStr">
        <is>
          <t>Physics GRE REQUIRED for the 2026-2027 cycle</t>
        </is>
      </c>
      <c r="E566" s="4" t="inlineStr">
        <is>
          <t>The Physics GRE will be required for the 2026-2027 PhD admissions cycle.</t>
        </is>
      </c>
      <c r="F566" s="4" t="inlineStr">
        <is>
          <t>https://physicsrecruitment.psd.uchicago.edu/apply/</t>
        </is>
      </c>
      <c r="G566" s="4" t="inlineStr"/>
      <c r="H566" s="4" t="inlineStr">
        <is>
          <t>2026-10-21</t>
        </is>
      </c>
    </row>
    <row r="567">
      <c r="A567" s="4" t="inlineStr">
        <is>
          <t>University of Chicago</t>
        </is>
      </c>
      <c r="B567" s="4" t="inlineStr">
        <is>
          <t>TOEFL minimum</t>
        </is>
      </c>
      <c r="C567" s="4" t="inlineStr">
        <is>
          <t>Not stated</t>
        </is>
      </c>
      <c r="D567" s="4" t="inlineStr">
        <is>
          <t>Any English exam you feel represents your ability; official or self-reported scores accepted (PSD)</t>
        </is>
      </c>
      <c r="E567" s="4" t="inlineStr">
        <is>
          <t>Students are invited to submit scores from any English proficiency examination they believe represents their English language ability.</t>
        </is>
      </c>
      <c r="F567" s="4" t="inlineStr">
        <is>
          <t>https://physicalsciences.uchicago.edu/academics/application-requirements/</t>
        </is>
      </c>
      <c r="G567" s="4" t="inlineStr"/>
      <c r="H567" s="4" t="inlineStr">
        <is>
          <t>2026-10-21</t>
        </is>
      </c>
    </row>
    <row r="568">
      <c r="A568" s="4" t="inlineStr">
        <is>
          <t>University of Chicago</t>
        </is>
      </c>
      <c r="B568" s="4" t="inlineStr">
        <is>
          <t>English-test waiver (English-medium degree)</t>
        </is>
      </c>
      <c r="C568" s="4" t="inlineStr">
        <is>
          <t>Not stated</t>
        </is>
      </c>
      <c r="D568" s="4" t="inlineStr">
        <is>
          <t>PSD has waiver criteria; criteria not shown in the text checked</t>
        </is>
      </c>
      <c r="E568" s="4" t="inlineStr">
        <is>
          <t>Applicants to the PSD PhD programs who do not meet the waiver criteria must submit proof of English language proficiency.</t>
        </is>
      </c>
      <c r="F568" s="4" t="inlineStr">
        <is>
          <t>https://physicalsciences.uchicago.edu/academics/application-requirements/</t>
        </is>
      </c>
      <c r="G568" s="4" t="inlineStr"/>
      <c r="H568" s="4" t="inlineStr">
        <is>
          <t>2026-10-21</t>
        </is>
      </c>
    </row>
    <row r="569">
      <c r="A569" s="4" t="inlineStr">
        <is>
          <t>University of Chicago</t>
        </is>
      </c>
      <c r="B569" s="4" t="inlineStr">
        <is>
          <t>Supervisor before admission</t>
        </is>
      </c>
      <c r="C569" s="4" t="inlineStr">
        <is>
          <t>Not stated</t>
        </is>
      </c>
      <c r="D569" s="4" t="inlineStr">
        <is>
          <t>No pre-application supervisor requirement mentioned</t>
        </is>
      </c>
      <c r="E569" s="4" t="inlineStr">
        <is>
          <t>(no statement found)</t>
        </is>
      </c>
      <c r="F569" s="4" t="inlineStr">
        <is>
          <t>https://physicsrecruitment.psd.uchicago.edu/apply/</t>
        </is>
      </c>
      <c r="G569" s="4" t="inlineStr"/>
      <c r="H569" s="4" t="inlineStr">
        <is>
          <t>2026-10-21</t>
        </is>
      </c>
    </row>
    <row r="570">
      <c r="A570" s="4" t="inlineStr">
        <is>
          <t>University of Chicago</t>
        </is>
      </c>
      <c r="B570" s="4" t="inlineStr">
        <is>
          <t>PhD funding</t>
        </is>
      </c>
      <c r="C570" s="4" t="inlineStr">
        <is>
          <t>Not stated</t>
        </is>
      </c>
      <c r="D570" s="4" t="inlineStr">
        <is>
          <t>PhD programs are funded (stipend timing noted); amounts not stated on the pages checked</t>
        </is>
      </c>
      <c r="E570" s="4" t="inlineStr">
        <is>
          <t>Applicants to funded programs, including PhDs, should be aware that the first stipend disbursal typically takes place near, or after, the beginning of their first quarter.</t>
        </is>
      </c>
      <c r="F570" s="4" t="inlineStr">
        <is>
          <t>https://physicalsciences.uchicago.edu/academics/application-requirements/</t>
        </is>
      </c>
      <c r="G570" s="4" t="inlineStr"/>
      <c r="H570" s="4" t="inlineStr">
        <is>
          <t>2026-10-21</t>
        </is>
      </c>
    </row>
    <row r="571">
      <c r="A571" s="4" t="inlineStr">
        <is>
          <t>University of Chicago</t>
        </is>
      </c>
      <c r="B571" s="4" t="inlineStr">
        <is>
          <t>Entry route</t>
        </is>
      </c>
      <c r="C571" s="4" t="inlineStr">
        <is>
          <t>Not stated</t>
        </is>
      </c>
      <c r="D571" s="4" t="inlineStr">
        <is>
          <t>Not stated on the pages checked</t>
        </is>
      </c>
      <c r="E571" s="4" t="inlineStr">
        <is>
          <t>(no statement found)</t>
        </is>
      </c>
      <c r="F571" s="4" t="inlineStr">
        <is>
          <t>https://physicsrecruitment.psd.uchicago.edu/apply/</t>
        </is>
      </c>
      <c r="G571" s="4" t="inlineStr"/>
      <c r="H571" s="4" t="inlineStr">
        <is>
          <t>2026-10-21</t>
        </is>
      </c>
    </row>
    <row r="572">
      <c r="A572" s="4" t="inlineStr">
        <is>
          <t>University of Colorado Boulder</t>
        </is>
      </c>
      <c r="B572" s="4" t="inlineStr">
        <is>
          <t>Deadline (2027 entry)</t>
        </is>
      </c>
      <c r="C572" s="4" t="inlineStr">
        <is>
          <t>2026-12-01</t>
        </is>
      </c>
      <c r="D572" s="4" t="inlineStr">
        <is>
          <t>December 1, 11:59 PM Eastern (year not printed; inferred 2026 for Fall 2027). Test scores accepted to Dec 15; letters by Dec 15 for priority, not accepted after Jan 1</t>
        </is>
      </c>
      <c r="E572" s="4" t="inlineStr">
        <is>
          <t>Your application must be submitted by December 1 (at 11:59 PM Eastern Time, not Mountain). | it is possible to submit test scores as late as December 15. For priority consideration, letters of recommendation must be received by December 15</t>
        </is>
      </c>
      <c r="F572" s="4" t="inlineStr">
        <is>
          <t>https://www.colorado.edu/physics/admissions/graduate-application-information</t>
        </is>
      </c>
      <c r="G572" s="4" t="inlineStr">
        <is>
          <t>year inferred</t>
        </is>
      </c>
      <c r="H572" s="4" t="inlineStr">
        <is>
          <t>2026-10-22</t>
        </is>
      </c>
    </row>
    <row r="573">
      <c r="A573" s="4" t="inlineStr">
        <is>
          <t>University of Colorado Boulder</t>
        </is>
      </c>
      <c r="B573" s="4" t="inlineStr">
        <is>
          <t>Application fee</t>
        </is>
      </c>
      <c r="C573" s="4" t="inlineStr">
        <is>
          <t>80 USD</t>
        </is>
      </c>
      <c r="D573" s="4" t="inlineStr">
        <is>
          <t>USD 80 for international applicants (USD 60 domestic)</t>
        </is>
      </c>
      <c r="E573" s="4" t="inlineStr">
        <is>
          <t>Application fee of $60 for domestic students and $80 for international students</t>
        </is>
      </c>
      <c r="F573" s="4" t="inlineStr">
        <is>
          <t>https://www.colorado.edu/physics/admissions/graduate-application-information</t>
        </is>
      </c>
      <c r="G573" s="4" t="inlineStr"/>
      <c r="H573" s="4" t="inlineStr">
        <is>
          <t>2026-10-22</t>
        </is>
      </c>
    </row>
    <row r="574">
      <c r="A574" s="4" t="inlineStr">
        <is>
          <t>University of Colorado Boulder</t>
        </is>
      </c>
      <c r="B574" s="4" t="inlineStr">
        <is>
          <t>Intl fee waiver</t>
        </is>
      </c>
      <c r="C574" s="4" t="inlineStr">
        <is>
          <t>Limited</t>
        </is>
      </c>
      <c r="D574" s="4" t="inlineStr">
        <is>
          <t>Department need-based waivers mainly for domestic applicants; for international students only in very exceptional circumstances. Request by November 13, 2026 (decision by Nov 24) and do not submit or pay before the decision. Graduate School waivers are for listed (mostly U.S.) programs.</t>
        </is>
      </c>
      <c r="E574" s="4" t="inlineStr">
        <is>
          <t>For domestic applicants, a limited number of need-based fee waivers are available. | For international students, need-based fee waivers may be granted in very exceptional circumstances. | The deadline for applying for a fee waiver for an application to the Physics PhD program is November 13, 2026.</t>
        </is>
      </c>
      <c r="F574" s="4" t="inlineStr">
        <is>
          <t>https://www.colorado.edu/physics/graduate-application-information/graduate-application-faqs</t>
        </is>
      </c>
      <c r="G574" s="4" t="inlineStr">
        <is>
          <t>act by 2026-11-13</t>
        </is>
      </c>
      <c r="H574" s="4" t="inlineStr">
        <is>
          <t>2026-10-22</t>
        </is>
      </c>
    </row>
    <row r="575">
      <c r="A575" s="4" t="inlineStr">
        <is>
          <t>University of Colorado Boulder</t>
        </is>
      </c>
      <c r="B575" s="4" t="inlineStr">
        <is>
          <t>GRE General</t>
        </is>
      </c>
      <c r="C575" s="4" t="inlineStr">
        <is>
          <t>Not stated</t>
        </is>
      </c>
      <c r="D575" s="4" t="inlineStr">
        <is>
          <t>Not stated on the pages checked (only the Physics GRE is discussed)</t>
        </is>
      </c>
      <c r="E575" s="4" t="inlineStr">
        <is>
          <t>(no statement found)</t>
        </is>
      </c>
      <c r="F575" s="4" t="inlineStr">
        <is>
          <t>https://www.colorado.edu/physics/admissions/graduate-application-information</t>
        </is>
      </c>
      <c r="G575" s="4" t="inlineStr"/>
      <c r="H575" s="4" t="inlineStr">
        <is>
          <t>2026-10-22</t>
        </is>
      </c>
    </row>
    <row r="576">
      <c r="A576" s="4" t="inlineStr">
        <is>
          <t>University of Colorado Boulder</t>
        </is>
      </c>
      <c r="B576" s="4" t="inlineStr">
        <is>
          <t>Physics GRE</t>
        </is>
      </c>
      <c r="C576" s="4" t="inlineStr">
        <is>
          <t>Recommended</t>
        </is>
      </c>
      <c r="D576" s="4" t="inlineStr">
        <is>
          <t>Physics GRE strongly recommended, especially for applicants from institutions outside the US/Canada or interested in theory; note barriers in the application if you cannot take it</t>
        </is>
      </c>
      <c r="E576" s="4" t="inlineStr">
        <is>
          <t>The Physics GRE subject test is strongly recommended. | A Physics GRE score can have significant positive impact on an application, especially if a student i) has a degree from a smaller physics program or from an institution outside the US or Canada  ||  The submission of Physics GRE scores is strongly recommended. (https://www.colorado.edu/physics/graduate-application-information/graduate-application-faqs)</t>
        </is>
      </c>
      <c r="F576" s="4" t="inlineStr">
        <is>
          <t>https://www.colorado.edu/physics/admissions/graduate-application-information</t>
        </is>
      </c>
      <c r="G576" s="4" t="inlineStr"/>
      <c r="H576" s="4" t="inlineStr">
        <is>
          <t>2026-10-22</t>
        </is>
      </c>
    </row>
    <row r="577">
      <c r="A577" s="4" t="inlineStr">
        <is>
          <t>University of Colorado Boulder</t>
        </is>
      </c>
      <c r="B577" s="4" t="inlineStr">
        <is>
          <t>TOEFL minimum</t>
        </is>
      </c>
      <c r="C577" s="4" t="inlineStr">
        <is>
          <t>80</t>
        </is>
      </c>
      <c r="D577" s="4" t="inlineStr">
        <is>
          <t>TOEFL 80 (4.0 on TOEFL iBT26); IELTS 6.5; Duolingo 120 per the physics FAQ (Graduate School table shows 115 for most programs)</t>
        </is>
      </c>
      <c r="E577" s="4" t="inlineStr">
        <is>
          <t>For English proficiency tests, the minimums are: | TOEFL: 80 | IELTS: 6.5 | Duolingo: 120</t>
        </is>
      </c>
      <c r="F577" s="4" t="inlineStr">
        <is>
          <t>https://www.colorado.edu/physics/graduate-application-information/graduate-application-faqs</t>
        </is>
      </c>
      <c r="G577" s="4" t="inlineStr"/>
      <c r="H577" s="4" t="inlineStr">
        <is>
          <t>2026-10-22</t>
        </is>
      </c>
    </row>
    <row r="578">
      <c r="A578" s="4" t="inlineStr">
        <is>
          <t>University of Colorado Boulder</t>
        </is>
      </c>
      <c r="B578" s="4" t="inlineStr">
        <is>
          <t>English-test waiver (English-medium degree)</t>
        </is>
      </c>
      <c r="C578" s="4" t="inlineStr">
        <is>
          <t>Yes</t>
        </is>
      </c>
      <c r="D578" s="4" t="inlineStr">
        <is>
          <t>Citizens of qualifying countries are exempt and India is on the list (the India exception applies only to Engineering Management). MOI letters are not accepted. Applications show the test as required until International Admissions manually waives it.</t>
        </is>
      </c>
      <c r="E578" s="4" t="inlineStr">
        <is>
          <t>Proof of English proficiency is NOT required if: | You are a citizen of a qualifying country | Grenada Guyana India** Ireland Jamaica | ** Applicants from India to the Engineering Management program must submit English Proficiency Scores. | Medium of Instruction (MOI) letters are NOT accepted and DO NOT meet the English proficiency requirement.  ||  The staff of International Admissions will manually evaluate applications and remove or waive the English proficiency requirement if they determine that the student is exempt. (https://www.colorado.edu/physics/graduate-application-information/graduate-application-faqs)</t>
        </is>
      </c>
      <c r="F578" s="4" t="inlineStr">
        <is>
          <t>https://www.colorado.edu/graduateschool/admissions/where-begin/international-students/english-proficiency-requirements</t>
        </is>
      </c>
      <c r="G578" s="4" t="inlineStr"/>
      <c r="H578" s="4" t="inlineStr">
        <is>
          <t>2026-10-22</t>
        </is>
      </c>
    </row>
    <row r="579">
      <c r="A579" s="4" t="inlineStr">
        <is>
          <t>University of Colorado Boulder</t>
        </is>
      </c>
      <c r="B579" s="4" t="inlineStr">
        <is>
          <t>Supervisor before admission</t>
        </is>
      </c>
      <c r="C579" s="4" t="inlineStr">
        <is>
          <t>Not required</t>
        </is>
      </c>
      <c r="D579" s="4" t="inlineStr">
        <is>
          <t>Contacting a potential research advisor before applying or admission is not necessary</t>
        </is>
      </c>
      <c r="E579" s="4" t="inlineStr">
        <is>
          <t>Should I reach out to a potential research advisor before applying or being accepted to the program? | No, this is not necessary.</t>
        </is>
      </c>
      <c r="F579" s="4" t="inlineStr">
        <is>
          <t>https://www.colorado.edu/physics/graduate-application-information/graduate-application-faqs</t>
        </is>
      </c>
      <c r="G579" s="4" t="inlineStr"/>
      <c r="H579" s="4" t="inlineStr">
        <is>
          <t>2026-10-22</t>
        </is>
      </c>
    </row>
    <row r="580">
      <c r="A580" s="4" t="inlineStr">
        <is>
          <t>University of Colorado Boulder</t>
        </is>
      </c>
      <c r="B580" s="4" t="inlineStr">
        <is>
          <t>PhD funding</t>
        </is>
      </c>
      <c r="C580" s="4" t="inlineStr">
        <is>
          <t>Typical</t>
        </is>
      </c>
      <c r="D580" s="4" t="inlineStr">
        <is>
          <t>Historically all admitted students (domestic and international) get TA/RA support with tuition and fees covered for the first two years, and satisfactory-progress students are supported after; department says there are no absolute guarantees</t>
        </is>
      </c>
      <c r="E580" s="4" t="inlineStr">
        <is>
          <t>While there are no absolute guarantees, this is the situation as it has existed in the past. | All admitted students, whether domestic or international, receive academic year support as a Teaching Assistant or Research Assistant for their first two years in graduate school. As a TA or RA, all tuition and fees will be covered.</t>
        </is>
      </c>
      <c r="F580" s="4" t="inlineStr">
        <is>
          <t>https://www.colorado.edu/physics/graduate-application-information/graduate-application-faqs</t>
        </is>
      </c>
      <c r="G580" s="4" t="inlineStr"/>
      <c r="H580" s="4" t="inlineStr">
        <is>
          <t>2026-10-22</t>
        </is>
      </c>
    </row>
    <row r="581">
      <c r="A581" s="4" t="inlineStr">
        <is>
          <t>University of Colorado Boulder</t>
        </is>
      </c>
      <c r="B581" s="4" t="inlineStr">
        <is>
          <t>Entry route</t>
        </is>
      </c>
      <c r="C581" s="4" t="inlineStr">
        <is>
          <t>Direct from bachelor's</t>
        </is>
      </c>
      <c r="D581" s="4" t="inlineStr">
        <is>
          <t>Master's not required; most entrants have a bachelor's; accredited 3-year bachelor's degrees are considered</t>
        </is>
      </c>
      <c r="E581" s="4" t="inlineStr">
        <is>
          <t>A master’s degree is not necessary to apply to the doctoral program. Most first year graduate students enter with a bachelor’s degree. | We will consider applicants with a properly accredited 3 year Bachelor’s degree.</t>
        </is>
      </c>
      <c r="F581" s="4" t="inlineStr">
        <is>
          <t>https://www.colorado.edu/physics/graduate-application-information/graduate-application-faqs</t>
        </is>
      </c>
      <c r="G581" s="4" t="inlineStr"/>
      <c r="H581" s="4" t="inlineStr">
        <is>
          <t>2026-10-22</t>
        </is>
      </c>
    </row>
    <row r="582">
      <c r="A582" s="4" t="inlineStr">
        <is>
          <t>University of Copenhagen</t>
        </is>
      </c>
      <c r="B582" s="4" t="inlineStr">
        <is>
          <t>Deadline (2027 entry)</t>
        </is>
      </c>
      <c r="C582" s="4" t="inlineStr">
        <is>
          <t>Per position</t>
        </is>
      </c>
      <c r="D582" s="4" t="inlineStr">
        <is>
          <t>No central deadline: apply to advertised PhD positions on the UCPH job portal (each has its own deadline); applications go through the relevant department</t>
        </is>
      </c>
      <c r="E582" s="4" t="inlineStr">
        <is>
          <t>All applications for enrolment go through the relevant department at SCIENCE.  ||  Look for advertised PhD positions at the University's job portal. (https://science.ku.dk/phd/appguide/funding-and-tuition-fee/)</t>
        </is>
      </c>
      <c r="F582" s="4" t="inlineStr">
        <is>
          <t>https://science.ku.dk/phd/appguide/</t>
        </is>
      </c>
      <c r="G582" s="4" t="inlineStr"/>
      <c r="H582" s="4" t="inlineStr">
        <is>
          <t>2026-10-21</t>
        </is>
      </c>
    </row>
    <row r="583">
      <c r="A583" s="4" t="inlineStr">
        <is>
          <t>University of Copenhagen</t>
        </is>
      </c>
      <c r="B583" s="4" t="inlineStr">
        <is>
          <t>Application fee</t>
        </is>
      </c>
      <c r="C583" s="4" t="inlineStr">
        <is>
          <t>Not stated</t>
        </is>
      </c>
      <c r="D583" s="4" t="inlineStr">
        <is>
          <t>Not stated on the page checked</t>
        </is>
      </c>
      <c r="E583" s="4" t="inlineStr">
        <is>
          <t>(no statement found)</t>
        </is>
      </c>
      <c r="F583" s="4" t="inlineStr">
        <is>
          <t>https://science.ku.dk/phd/appguide/</t>
        </is>
      </c>
      <c r="G583" s="4" t="inlineStr"/>
      <c r="H583" s="4" t="inlineStr">
        <is>
          <t>2026-10-21</t>
        </is>
      </c>
    </row>
    <row r="584">
      <c r="A584" s="4" t="inlineStr">
        <is>
          <t>University of Copenhagen</t>
        </is>
      </c>
      <c r="B584" s="4" t="inlineStr">
        <is>
          <t>Intl fee waiver</t>
        </is>
      </c>
      <c r="C584" s="4" t="inlineStr">
        <is>
          <t>Not stated</t>
        </is>
      </c>
      <c r="D584" s="4" t="inlineStr">
        <is>
          <t>Not stated on the page checked</t>
        </is>
      </c>
      <c r="E584" s="4" t="inlineStr">
        <is>
          <t>(no statement found)</t>
        </is>
      </c>
      <c r="F584" s="4" t="inlineStr">
        <is>
          <t>https://science.ku.dk/phd/appguide/</t>
        </is>
      </c>
      <c r="G584" s="4" t="inlineStr"/>
      <c r="H584" s="4" t="inlineStr">
        <is>
          <t>2026-10-21</t>
        </is>
      </c>
    </row>
    <row r="585">
      <c r="A585" s="4" t="inlineStr">
        <is>
          <t>University of Copenhagen</t>
        </is>
      </c>
      <c r="B585" s="4" t="inlineStr">
        <is>
          <t>GRE General</t>
        </is>
      </c>
      <c r="C585" s="4" t="inlineStr">
        <is>
          <t>Not stated</t>
        </is>
      </c>
      <c r="D585" s="4" t="inlineStr">
        <is>
          <t>Not stated on the page checked</t>
        </is>
      </c>
      <c r="E585" s="4" t="inlineStr">
        <is>
          <t>(no statement found)</t>
        </is>
      </c>
      <c r="F585" s="4" t="inlineStr">
        <is>
          <t>https://science.ku.dk/phd/appguide/</t>
        </is>
      </c>
      <c r="G585" s="4" t="inlineStr"/>
      <c r="H585" s="4" t="inlineStr">
        <is>
          <t>2026-10-21</t>
        </is>
      </c>
    </row>
    <row r="586">
      <c r="A586" s="4" t="inlineStr">
        <is>
          <t>University of Copenhagen</t>
        </is>
      </c>
      <c r="B586" s="4" t="inlineStr">
        <is>
          <t>Physics GRE</t>
        </is>
      </c>
      <c r="C586" s="4" t="inlineStr">
        <is>
          <t>Not stated</t>
        </is>
      </c>
      <c r="D586" s="4" t="inlineStr">
        <is>
          <t>Not stated on the page checked</t>
        </is>
      </c>
      <c r="E586" s="4" t="inlineStr">
        <is>
          <t>(no statement found)</t>
        </is>
      </c>
      <c r="F586" s="4" t="inlineStr">
        <is>
          <t>https://science.ku.dk/phd/appguide/</t>
        </is>
      </c>
      <c r="G586" s="4" t="inlineStr"/>
      <c r="H586" s="4" t="inlineStr">
        <is>
          <t>2026-10-21</t>
        </is>
      </c>
    </row>
    <row r="587">
      <c r="A587" s="4" t="inlineStr">
        <is>
          <t>University of Copenhagen</t>
        </is>
      </c>
      <c r="B587" s="4" t="inlineStr">
        <is>
          <t>TOEFL minimum</t>
        </is>
      </c>
      <c r="C587" s="4" t="inlineStr">
        <is>
          <t>Not stated</t>
        </is>
      </c>
      <c r="D587" s="4" t="inlineStr">
        <is>
          <t>No test minimum stated on the page checked</t>
        </is>
      </c>
      <c r="E587" s="4" t="inlineStr">
        <is>
          <t>(no statement found)</t>
        </is>
      </c>
      <c r="F587" s="4" t="inlineStr">
        <is>
          <t>https://science.ku.dk/phd/appguide/admission-requirements/</t>
        </is>
      </c>
      <c r="G587" s="4" t="inlineStr"/>
      <c r="H587" s="4" t="inlineStr">
        <is>
          <t>2026-10-21</t>
        </is>
      </c>
    </row>
    <row r="588">
      <c r="A588" s="4" t="inlineStr">
        <is>
          <t>University of Copenhagen</t>
        </is>
      </c>
      <c r="B588" s="4" t="inlineStr">
        <is>
          <t>English-test waiver (English-medium degree)</t>
        </is>
      </c>
      <c r="C588" s="4" t="inlineStr">
        <is>
          <t>Yes</t>
        </is>
      </c>
      <c r="D588" s="4" t="inlineStr">
        <is>
          <t>The faculty sets no English test: if English is not your principal language, you demonstrate it in an interview with your principal supervisor</t>
        </is>
      </c>
      <c r="E588" s="4" t="inlineStr">
        <is>
          <t>Applicants whose principal language is not English must demonstrate that their English language skills are at a level corresponding to the requirements. This is done by an interview with the principal supervisor.</t>
        </is>
      </c>
      <c r="F588" s="4" t="inlineStr">
        <is>
          <t>https://science.ku.dk/phd/appguide/admission-requirements/</t>
        </is>
      </c>
      <c r="G588" s="4" t="inlineStr"/>
      <c r="H588" s="4" t="inlineStr">
        <is>
          <t>2026-10-21</t>
        </is>
      </c>
    </row>
    <row r="589">
      <c r="A589" s="4" t="inlineStr">
        <is>
          <t>University of Copenhagen</t>
        </is>
      </c>
      <c r="B589" s="4" t="inlineStr">
        <is>
          <t>Supervisor before admission</t>
        </is>
      </c>
      <c r="C589" s="4" t="inlineStr">
        <is>
          <t>Required</t>
        </is>
      </c>
      <c r="D589" s="4" t="inlineStr">
        <is>
          <t>You must have an agreement with a principal supervisor at the Faculty of Science before you apply for admission</t>
        </is>
      </c>
      <c r="E589" s="4" t="inlineStr">
        <is>
          <t>You must have a principal supervisor employed at one of the departments at the Faculty of Science, and you must have an agreement with your supervisor before you apply for admission.  ||  Applicants must have an agreement with a principal supervisor. (https://science.ku.dk/phd/appguide/admission-requirements/)</t>
        </is>
      </c>
      <c r="F589" s="4" t="inlineStr">
        <is>
          <t>https://science.ku.dk/phd/appguide/how-to-find-a-project-and-a-supervisor/</t>
        </is>
      </c>
      <c r="G589" s="4" t="inlineStr"/>
      <c r="H589" s="4" t="inlineStr">
        <is>
          <t>2026-10-21</t>
        </is>
      </c>
    </row>
    <row r="590">
      <c r="A590" s="4" t="inlineStr">
        <is>
          <t>University of Copenhagen</t>
        </is>
      </c>
      <c r="B590" s="4" t="inlineStr">
        <is>
          <t>PhD funding</t>
        </is>
      </c>
      <c r="C590" s="4" t="inlineStr">
        <is>
          <t>Guaranteed</t>
        </is>
      </c>
      <c r="D590" s="4" t="inlineStr">
        <is>
          <t>No unfunded admission: you need funding for salary and tuition fee to enrol (usually employment as a PhD fellow); UCPH stopped admitting self-paying PhD students in May 2025</t>
        </is>
      </c>
      <c r="E590" s="4" t="inlineStr">
        <is>
          <t>To be enrolled as a PhD student, the applicant must have funding for salary and tuition fee. | Employment as a PhD fellow at the faculty  ||  UCPH wants transparency in the funding of all research at UCPH and will not receive self-paying PhD students as of May 2025. (https://phd.ku.dk/english/enrolment/)</t>
        </is>
      </c>
      <c r="F590" s="4" t="inlineStr">
        <is>
          <t>https://science.ku.dk/phd/appguide/funding-and-tuition-fee/</t>
        </is>
      </c>
      <c r="G590" s="4" t="inlineStr"/>
      <c r="H590" s="4" t="inlineStr">
        <is>
          <t>2026-10-21</t>
        </is>
      </c>
    </row>
    <row r="591">
      <c r="A591" s="4" t="inlineStr">
        <is>
          <t>University of Copenhagen</t>
        </is>
      </c>
      <c r="B591" s="4" t="inlineStr">
        <is>
          <t>Entry route</t>
        </is>
      </c>
      <c r="C591" s="4" t="inlineStr">
        <is>
          <t>Master's usually required</t>
        </is>
      </c>
      <c r="D591" s="4" t="inlineStr">
        <is>
          <t>Qualifications equivalent to a Danish two-year master's degree (120 ECTS); most students enter via the 5+3 route (an integrated 3+5 route also exists)</t>
        </is>
      </c>
      <c r="E591" s="4" t="inlineStr">
        <is>
          <t>Admission to the PhD programme is based on qualifications equivalent to a Danish two-year master's degree (120 ECTS).  ||  The majority of PhD students are admitted through the 5+3 entry, allowing 3 years of full-time PhD studies. | INTEGRATED PHD PROGRAMME (3+5) (https://science.ku.dk/phd/appguide/studystructure/)</t>
        </is>
      </c>
      <c r="F591" s="4" t="inlineStr">
        <is>
          <t>https://science.ku.dk/phd/appguide/admission-requirements/</t>
        </is>
      </c>
      <c r="G591" s="4" t="inlineStr"/>
      <c r="H591" s="4" t="inlineStr">
        <is>
          <t>2026-10-21</t>
        </is>
      </c>
    </row>
    <row r="592">
      <c r="A592" s="4" t="inlineStr">
        <is>
          <t>University of Edinburgh</t>
        </is>
      </c>
      <c r="B592" s="4" t="inlineStr">
        <is>
          <t>Deadline (2027 entry)</t>
        </is>
      </c>
      <c r="C592" s="4" t="inlineStr">
        <is>
          <t>2027-01-22</t>
        </is>
      </c>
      <c r="D592" s="4" t="inlineStr">
        <is>
          <t>Funding deadline: Physics Jan 22, 2027 (Astronomy/Astrophysics Jan 4, 2027). Admission without funding accepted until the end of June.</t>
        </is>
      </c>
      <c r="E592" s="4" t="inlineStr">
        <is>
          <t>Applicants for Research Council or University PhD funding are required to submit their applications by the following deadlines: Astronomy / Astrophysics: Monday 4th January 2027 Physics: Friday 22nd January 2027</t>
        </is>
      </c>
      <c r="F592" s="4" t="inlineStr">
        <is>
          <t>https://www.ph.ed.ac.uk/studying/postgraduate-research/how-apply</t>
        </is>
      </c>
      <c r="G592" s="4" t="inlineStr"/>
      <c r="H592" s="4" t="inlineStr">
        <is>
          <t>2026-10-21</t>
        </is>
      </c>
    </row>
    <row r="593">
      <c r="A593" s="4" t="inlineStr">
        <is>
          <t>University of Edinburgh</t>
        </is>
      </c>
      <c r="B593" s="4" t="inlineStr">
        <is>
          <t>Application fee</t>
        </is>
      </c>
      <c r="C593" s="4" t="inlineStr">
        <is>
          <t>Not stated</t>
        </is>
      </c>
      <c r="D593" s="4" t="inlineStr">
        <is>
          <t>Not stated on the page checked</t>
        </is>
      </c>
      <c r="E593" s="4" t="inlineStr">
        <is>
          <t>(no statement found)</t>
        </is>
      </c>
      <c r="F593" s="4" t="inlineStr">
        <is>
          <t>https://www.ph.ed.ac.uk/studying/postgraduate-research/how-apply</t>
        </is>
      </c>
      <c r="G593" s="4" t="inlineStr"/>
      <c r="H593" s="4" t="inlineStr">
        <is>
          <t>2026-10-21</t>
        </is>
      </c>
    </row>
    <row r="594">
      <c r="A594" s="4" t="inlineStr">
        <is>
          <t>University of Edinburgh</t>
        </is>
      </c>
      <c r="B594" s="4" t="inlineStr">
        <is>
          <t>Intl fee waiver</t>
        </is>
      </c>
      <c r="C594" s="4" t="inlineStr">
        <is>
          <t>Not stated</t>
        </is>
      </c>
      <c r="D594" s="4" t="inlineStr">
        <is>
          <t>Not stated on the page checked</t>
        </is>
      </c>
      <c r="E594" s="4" t="inlineStr">
        <is>
          <t>(no statement found)</t>
        </is>
      </c>
      <c r="F594" s="4" t="inlineStr">
        <is>
          <t>https://www.ph.ed.ac.uk/studying/postgraduate-research/how-apply</t>
        </is>
      </c>
      <c r="G594" s="4" t="inlineStr"/>
      <c r="H594" s="4" t="inlineStr">
        <is>
          <t>2026-10-21</t>
        </is>
      </c>
    </row>
    <row r="595">
      <c r="A595" s="4" t="inlineStr">
        <is>
          <t>University of Edinburgh</t>
        </is>
      </c>
      <c r="B595" s="4" t="inlineStr">
        <is>
          <t>GRE General</t>
        </is>
      </c>
      <c r="C595" s="4" t="inlineStr">
        <is>
          <t>Not stated</t>
        </is>
      </c>
      <c r="D595" s="4" t="inlineStr">
        <is>
          <t>Not stated</t>
        </is>
      </c>
      <c r="E595" s="4" t="inlineStr">
        <is>
          <t>(no statement found)</t>
        </is>
      </c>
      <c r="F595" s="4" t="inlineStr">
        <is>
          <t>https://www.ph.ed.ac.uk/studying/postgraduate-research/how-apply</t>
        </is>
      </c>
      <c r="G595" s="4" t="inlineStr"/>
      <c r="H595" s="4" t="inlineStr">
        <is>
          <t>2026-10-21</t>
        </is>
      </c>
    </row>
    <row r="596">
      <c r="A596" s="4" t="inlineStr">
        <is>
          <t>University of Edinburgh</t>
        </is>
      </c>
      <c r="B596" s="4" t="inlineStr">
        <is>
          <t>Physics GRE</t>
        </is>
      </c>
      <c r="C596" s="4" t="inlineStr">
        <is>
          <t>Not stated</t>
        </is>
      </c>
      <c r="D596" s="4" t="inlineStr">
        <is>
          <t>Not stated</t>
        </is>
      </c>
      <c r="E596" s="4" t="inlineStr">
        <is>
          <t>(no statement found)</t>
        </is>
      </c>
      <c r="F596" s="4" t="inlineStr">
        <is>
          <t>https://www.ph.ed.ac.uk/studying/postgraduate-research/how-apply</t>
        </is>
      </c>
      <c r="G596" s="4" t="inlineStr"/>
      <c r="H596" s="4" t="inlineStr">
        <is>
          <t>2026-10-21</t>
        </is>
      </c>
    </row>
    <row r="597">
      <c r="A597" s="4" t="inlineStr">
        <is>
          <t>University of Edinburgh</t>
        </is>
      </c>
      <c r="B597" s="4" t="inlineStr">
        <is>
          <t>TOEFL minimum</t>
        </is>
      </c>
      <c r="C597" s="4" t="inlineStr">
        <is>
          <t>Not stated</t>
        </is>
      </c>
      <c r="D597" s="4" t="inlineStr">
        <is>
          <t>Not stated on the page checked</t>
        </is>
      </c>
      <c r="E597" s="4" t="inlineStr">
        <is>
          <t>(no statement found)</t>
        </is>
      </c>
      <c r="F597" s="4" t="inlineStr">
        <is>
          <t>https://www.ph.ed.ac.uk/studying/postgraduate-research/how-apply</t>
        </is>
      </c>
      <c r="G597" s="4" t="inlineStr"/>
      <c r="H597" s="4" t="inlineStr">
        <is>
          <t>2026-10-21</t>
        </is>
      </c>
    </row>
    <row r="598">
      <c r="A598" s="4" t="inlineStr">
        <is>
          <t>University of Edinburgh</t>
        </is>
      </c>
      <c r="B598" s="4" t="inlineStr">
        <is>
          <t>English-test waiver (English-medium degree)</t>
        </is>
      </c>
      <c r="C598" s="4" t="inlineStr">
        <is>
          <t>Conditional</t>
        </is>
      </c>
      <c r="D598" s="4" t="inlineStr">
        <is>
          <t>An English-taught degree counts only if your institution is on the University's approved list for non-majority-English-speaking countries</t>
        </is>
      </c>
      <c r="E598" s="4" t="inlineStr">
        <is>
          <t>My institution is not on the University's approved list of universities in non-majority English-speaking countries (MESC), but my degree was taught in English. Can this still be accepted as proof of meeting the English language requirements? The University rigorously scrutinises all institutions that teach and assess in English</t>
        </is>
      </c>
      <c r="F598" s="4" t="inlineStr">
        <is>
          <t>https://www.ph.ed.ac.uk/studying/postgraduate-research/how-apply</t>
        </is>
      </c>
      <c r="G598" s="4" t="inlineStr"/>
      <c r="H598" s="4" t="inlineStr">
        <is>
          <t>2026-10-21</t>
        </is>
      </c>
    </row>
    <row r="599">
      <c r="A599" s="4" t="inlineStr">
        <is>
          <t>University of Edinburgh</t>
        </is>
      </c>
      <c r="B599" s="4" t="inlineStr">
        <is>
          <t>Supervisor before admission</t>
        </is>
      </c>
      <c r="C599" s="4" t="inlineStr">
        <is>
          <t>Not required</t>
        </is>
      </c>
      <c r="D599" s="4" t="inlineStr">
        <is>
          <t>No need to contact supervisors before applying unless you propose your own project; name preferred supervisors on the form</t>
        </is>
      </c>
      <c r="E599" s="4" t="inlineStr">
        <is>
          <t>There is no requirement to make contact before applying, but you should do so if you are proposing your own project.</t>
        </is>
      </c>
      <c r="F599" s="4" t="inlineStr">
        <is>
          <t>https://www.ph.ed.ac.uk/studying/postgraduate-research/how-apply</t>
        </is>
      </c>
      <c r="G599" s="4" t="inlineStr"/>
      <c r="H599" s="4" t="inlineStr">
        <is>
          <t>2026-10-21</t>
        </is>
      </c>
    </row>
    <row r="600">
      <c r="A600" s="4" t="inlineStr">
        <is>
          <t>University of Edinburgh</t>
        </is>
      </c>
      <c r="B600" s="4" t="inlineStr">
        <is>
          <t>PhD funding</t>
        </is>
      </c>
      <c r="C600" s="4" t="inlineStr">
        <is>
          <t>Competitive</t>
        </is>
      </c>
      <c r="D600" s="4" t="inlineStr">
        <is>
          <t>School studentships include full tuition; UKRI limits how many international students can be funded, but other routes exist</t>
        </is>
      </c>
      <c r="E600" s="4" t="inlineStr">
        <is>
          <t>All studentships administered by the School will include a 100% tuition fee contribution.</t>
        </is>
      </c>
      <c r="F600" s="4" t="inlineStr">
        <is>
          <t>https://www.ph.ed.ac.uk/studying/postgraduate-research/how-apply</t>
        </is>
      </c>
      <c r="G600" s="4" t="inlineStr"/>
      <c r="H600" s="4" t="inlineStr">
        <is>
          <t>2026-10-21</t>
        </is>
      </c>
    </row>
    <row r="601">
      <c r="A601" s="4" t="inlineStr">
        <is>
          <t>University of Edinburgh</t>
        </is>
      </c>
      <c r="B601" s="4" t="inlineStr">
        <is>
          <t>Entry route</t>
        </is>
      </c>
      <c r="C601" s="4" t="inlineStr">
        <is>
          <t>Direct from bachelor's</t>
        </is>
      </c>
      <c r="D601" s="4" t="inlineStr">
        <is>
          <t>Most current PhD students had no master's before starting</t>
        </is>
      </c>
      <c r="E601" s="4" t="inlineStr">
        <is>
          <t>Most of our current PhD students did not have a Masters degree before starting their programme.</t>
        </is>
      </c>
      <c r="F601" s="4" t="inlineStr">
        <is>
          <t>https://www.ph.ed.ac.uk/studying/postgraduate-research/how-apply</t>
        </is>
      </c>
      <c r="G601" s="4" t="inlineStr"/>
      <c r="H601" s="4" t="inlineStr">
        <is>
          <t>2026-10-21</t>
        </is>
      </c>
    </row>
    <row r="602">
      <c r="A602" s="4" t="inlineStr">
        <is>
          <t>University of Guelph</t>
        </is>
      </c>
      <c r="B602" s="4" t="inlineStr">
        <is>
          <t>Deadline (2027 entry)</t>
        </is>
      </c>
      <c r="C602" s="4" t="inlineStr">
        <is>
          <t>2027-02-01</t>
        </is>
      </c>
      <c r="D602" s="4" t="inlineStr">
        <is>
          <t>Official pages disagree. Department page: February 1 for Fall (September) entry, with only domestic applicants considered after the deadline (Feb 1 also needed for award consideration). PhD program page: international Fall deadline May 1 (domestic August 31). Coded the earlier date; department recommends internationals apply 9+ months before the start term. Year inferred for Fall 2027.</t>
        </is>
      </c>
      <c r="E602" s="4" t="inlineStr">
        <is>
          <t>Fall (September) | February 1st | For Domestic students (Canadians and Permanent Residents) applications will be considered after these deadlines, although this may impact your eligibility for major awards and scholarships in your first year.  ||  The application deadline is August 31 (domestic) and May 1 (international) for Fall (https://www.uoguelph.ca/programs/phd-physics)</t>
        </is>
      </c>
      <c r="F602" s="4" t="inlineStr">
        <is>
          <t>https://www.uoguelph.ca/physics/future-students/grad-apply</t>
        </is>
      </c>
      <c r="G602" s="4" t="inlineStr">
        <is>
          <t>year inferred; sources conflict</t>
        </is>
      </c>
      <c r="H602" s="4" t="inlineStr">
        <is>
          <t>2026-10-21</t>
        </is>
      </c>
    </row>
    <row r="603">
      <c r="A603" s="4" t="inlineStr">
        <is>
          <t>University of Guelph</t>
        </is>
      </c>
      <c r="B603" s="4" t="inlineStr">
        <is>
          <t>Application fee</t>
        </is>
      </c>
      <c r="C603" s="4" t="inlineStr">
        <is>
          <t>125 CAD</t>
        </is>
      </c>
      <c r="D603" s="4" t="inlineStr">
        <is>
          <t>CAD 125, non-refundable, paid to OUAC</t>
        </is>
      </c>
      <c r="E603" s="4" t="inlineStr">
        <is>
          <t>The application fee for most graduate programs is $125. | Please note: This fee is non refundable and is payable to OUAC.</t>
        </is>
      </c>
      <c r="F603" s="4" t="inlineStr">
        <is>
          <t>https://graduatestudies.uoguelph.ca/future/applying-guelph</t>
        </is>
      </c>
      <c r="G603" s="4" t="inlineStr"/>
      <c r="H603" s="4" t="inlineStr">
        <is>
          <t>2026-10-21</t>
        </is>
      </c>
    </row>
    <row r="604">
      <c r="A604" s="4" t="inlineStr">
        <is>
          <t>University of Guelph</t>
        </is>
      </c>
      <c r="B604" s="4" t="inlineStr">
        <is>
          <t>Intl fee waiver</t>
        </is>
      </c>
      <c r="C604" s="4" t="inlineStr">
        <is>
          <t>Not stated</t>
        </is>
      </c>
      <c r="D604" s="4" t="inlineStr">
        <is>
          <t>Not stated on the page checked</t>
        </is>
      </c>
      <c r="E604" s="4" t="inlineStr">
        <is>
          <t>(no statement found)</t>
        </is>
      </c>
      <c r="F604" s="4" t="inlineStr">
        <is>
          <t>https://graduatestudies.uoguelph.ca/future/applying-guelph</t>
        </is>
      </c>
      <c r="G604" s="4" t="inlineStr"/>
      <c r="H604" s="4" t="inlineStr">
        <is>
          <t>2026-10-21</t>
        </is>
      </c>
    </row>
    <row r="605">
      <c r="A605" s="4" t="inlineStr">
        <is>
          <t>University of Guelph</t>
        </is>
      </c>
      <c r="B605" s="4" t="inlineStr">
        <is>
          <t>GRE General</t>
        </is>
      </c>
      <c r="C605" s="4" t="inlineStr">
        <is>
          <t>Not stated</t>
        </is>
      </c>
      <c r="D605" s="4" t="inlineStr">
        <is>
          <t>Not stated on the page checked</t>
        </is>
      </c>
      <c r="E605" s="4" t="inlineStr">
        <is>
          <t>(no statement found)</t>
        </is>
      </c>
      <c r="F605" s="4" t="inlineStr">
        <is>
          <t>https://www.uoguelph.ca/physics/future-students/grad-apply</t>
        </is>
      </c>
      <c r="G605" s="4" t="inlineStr"/>
      <c r="H605" s="4" t="inlineStr">
        <is>
          <t>2026-10-21</t>
        </is>
      </c>
    </row>
    <row r="606">
      <c r="A606" s="4" t="inlineStr">
        <is>
          <t>University of Guelph</t>
        </is>
      </c>
      <c r="B606" s="4" t="inlineStr">
        <is>
          <t>Physics GRE</t>
        </is>
      </c>
      <c r="C606" s="4" t="inlineStr">
        <is>
          <t>Required</t>
        </is>
      </c>
      <c r="D606" s="4" t="inlineStr">
        <is>
          <t>Physics GRE required for applicants whose degrees are not from a Canadian institution (minimum 800); an application below a minimum is still considered as a whole</t>
        </is>
      </c>
      <c r="E606" s="4" t="inlineStr">
        <is>
          <t>For applicants whose previous/current degree(s) are NOT from a Canadian institution | Physics SUBJECT Graduate Record Exam (GRE) with a minimum score of 800 | If you are applying from an institution outside of Canada we require a Physics Subject GRE.  ||  GRE Physics Subject Test score for all applicants who have completed their post-secondary education outside of Canada. (https://calendar.uoguelph.ca/graduate-calendar/graduate-programs/physics/)</t>
        </is>
      </c>
      <c r="F606" s="4" t="inlineStr">
        <is>
          <t>https://www.uoguelph.ca/physics/future-students/grad-apply</t>
        </is>
      </c>
      <c r="G606" s="4" t="inlineStr">
        <is>
          <t>applicants with non-Canadian degrees</t>
        </is>
      </c>
      <c r="H606" s="4" t="inlineStr">
        <is>
          <t>2026-10-21</t>
        </is>
      </c>
    </row>
    <row r="607">
      <c r="A607" s="4" t="inlineStr">
        <is>
          <t>University of Guelph</t>
        </is>
      </c>
      <c r="B607" s="4" t="inlineStr">
        <is>
          <t>TOEFL minimum</t>
        </is>
      </c>
      <c r="C607" s="4" t="inlineStr">
        <is>
          <t>89</t>
        </is>
      </c>
      <c r="D607" s="4" t="inlineStr">
        <is>
          <t>TOEFL iBT 89 with no section below 21 (tests before Jan 21, 2026); 4.5 overall and 4.0 per section on the new scale; IELTS 6.5; Duolingo 120</t>
        </is>
      </c>
      <c r="E607" s="4" t="inlineStr">
        <is>
          <t>For tests prior January 21, 2026, a minimum overall score of 89 must be achieved with no categories below 21. | A minimum score of 4.0 must be achieved in each of the four categories (listening, speaking, reading, writing).</t>
        </is>
      </c>
      <c r="F607" s="4" t="inlineStr">
        <is>
          <t>https://graduatestudies.uoguelph.ca/future/international/english</t>
        </is>
      </c>
      <c r="G607" s="4" t="inlineStr"/>
      <c r="H607" s="4" t="inlineStr">
        <is>
          <t>2026-10-21</t>
        </is>
      </c>
    </row>
    <row r="608">
      <c r="A608" s="4" t="inlineStr">
        <is>
          <t>University of Guelph</t>
        </is>
      </c>
      <c r="B608" s="4" t="inlineStr">
        <is>
          <t>English-test waiver (English-medium degree)</t>
        </is>
      </c>
      <c r="C608" s="4" t="inlineStr">
        <is>
          <t>Conditional</t>
        </is>
      </c>
      <c r="D608" s="4" t="inlineStr">
        <is>
          <t>If your prior post-secondary study was taught in English you may request a waiver, decided case by case by the department; physics also asks for a test if your English-medium degree was completed more than two years ago</t>
        </is>
      </c>
      <c r="E608" s="4" t="inlineStr">
        <is>
          <t>If your first language is not English but you have completed prior post-secondary studies in which English was the language instruction, you may request to have your English Language Proficiency requirement waived. These decisions are made on a case-by-case basis by the department you are applying to.  ||  You must provide an English Language Proficiency (ELP) test if; English is not your first language, your BSc or MSc was completed in English more than two years ago or your previous education was not completed in English. (https://www.uoguelph.ca/physics/future-students/grad-apply)</t>
        </is>
      </c>
      <c r="F608" s="4" t="inlineStr">
        <is>
          <t>https://graduatestudies.uoguelph.ca/prospective-students/international-applicants</t>
        </is>
      </c>
      <c r="G608" s="4" t="inlineStr"/>
      <c r="H608" s="4" t="inlineStr">
        <is>
          <t>2026-10-21</t>
        </is>
      </c>
    </row>
    <row r="609">
      <c r="A609" s="4" t="inlineStr">
        <is>
          <t>University of Guelph</t>
        </is>
      </c>
      <c r="B609" s="4" t="inlineStr">
        <is>
          <t>Supervisor before admission</t>
        </is>
      </c>
      <c r="C609" s="4" t="inlineStr">
        <is>
          <t>Required</t>
        </is>
      </c>
      <c r="D609" s="4" t="inlineStr">
        <is>
          <t>You do not need a supervisor before applying (list 2-3 potential supervisors), but approved applicants are admitted only if a supervisor match is found</t>
        </is>
      </c>
      <c r="E609" s="4" t="inlineStr">
        <is>
          <t>Students DO NOT need to find a supervisor prior to applying. | Approved applicants are admitted to either of these research programs ONLY if a supervisor match is found.</t>
        </is>
      </c>
      <c r="F609" s="4" t="inlineStr">
        <is>
          <t>https://www.uoguelph.ca/physics/future-students/grad-apply</t>
        </is>
      </c>
      <c r="G609" s="4" t="inlineStr"/>
      <c r="H609" s="4" t="inlineStr">
        <is>
          <t>2026-10-21</t>
        </is>
      </c>
    </row>
    <row r="610">
      <c r="A610" s="4" t="inlineStr">
        <is>
          <t>University of Guelph</t>
        </is>
      </c>
      <c r="B610" s="4" t="inlineStr">
        <is>
          <t>PhD funding</t>
        </is>
      </c>
      <c r="C610" s="4" t="inlineStr">
        <is>
          <t>Typical</t>
        </is>
      </c>
      <c r="D610" s="4" t="inlineStr">
        <is>
          <t>Full funding typically provided to full-time thesis-based students without external funding (scholarships, TA, RA); no minimum amount stated</t>
        </is>
      </c>
      <c r="E610" s="4" t="inlineStr">
        <is>
          <t>Full funding is typically provided for full-time, thesis-based students (who do not receive external funding) through a combination of scholarships, teaching assistantships, and/or research assistantships.</t>
        </is>
      </c>
      <c r="F610" s="4" t="inlineStr">
        <is>
          <t>https://www.uoguelph.ca/programs/phd-physics</t>
        </is>
      </c>
      <c r="G610" s="4" t="inlineStr"/>
      <c r="H610" s="4" t="inlineStr">
        <is>
          <t>2026-10-21</t>
        </is>
      </c>
    </row>
    <row r="611">
      <c r="A611" s="4" t="inlineStr">
        <is>
          <t>University of Guelph</t>
        </is>
      </c>
      <c r="B611" s="4" t="inlineStr">
        <is>
          <t>Entry route</t>
        </is>
      </c>
      <c r="C611" s="4" t="inlineStr">
        <is>
          <t>Master's usually required</t>
        </is>
      </c>
      <c r="D611" s="4" t="inlineStr">
        <is>
          <t>An MSc in physics (75%+) is normally required; exceptional BSc holders may be considered for direct PhD entry, but most BSc applicants receive MSc offers; MSc-to-PhD transfer possible</t>
        </is>
      </c>
      <c r="E611" s="4" t="inlineStr">
        <is>
          <t>an MSc degree in Physics is normally required for entrance into the PhD program. | Exceptional students may be considered for accelerated MSc or direct entry to PhD programs, but the majority of applicants holding a BSc degree will be made offers into the MSc program.</t>
        </is>
      </c>
      <c r="F611" s="4" t="inlineStr">
        <is>
          <t>https://www.uoguelph.ca/physics/future-students/grad-apply</t>
        </is>
      </c>
      <c r="G611" s="4" t="inlineStr"/>
      <c r="H611" s="4" t="inlineStr">
        <is>
          <t>2026-10-21</t>
        </is>
      </c>
    </row>
    <row r="612">
      <c r="A612" s="4" t="inlineStr">
        <is>
          <t>University of Illinois Urbana-Champaign</t>
        </is>
      </c>
      <c r="B612" s="4" t="inlineStr">
        <is>
          <t>Deadline (2027 entry)</t>
        </is>
      </c>
      <c r="C612" s="4" t="inlineStr">
        <is>
          <t>2027-01-15</t>
        </is>
      </c>
      <c r="D612" s="4" t="inlineStr">
        <is>
          <t>January 15, 2027 for Fall 2027; all materials incl. letters and official scores by that date</t>
        </is>
      </c>
      <c r="E612" s="4" t="inlineStr">
        <is>
          <t>The application deadline for Fall 2027 admission is January 15, 2027.</t>
        </is>
      </c>
      <c r="F612" s="4" t="inlineStr">
        <is>
          <t>https://physics.illinois.edu/admissions/graduates/apply</t>
        </is>
      </c>
      <c r="G612" s="4" t="inlineStr"/>
      <c r="H612" s="4" t="inlineStr">
        <is>
          <t>2026-10-21</t>
        </is>
      </c>
    </row>
    <row r="613">
      <c r="A613" s="4" t="inlineStr">
        <is>
          <t>University of Illinois Urbana-Champaign</t>
        </is>
      </c>
      <c r="B613" s="4" t="inlineStr">
        <is>
          <t>Application fee</t>
        </is>
      </c>
      <c r="C613" s="4" t="inlineStr">
        <is>
          <t>90 USD</t>
        </is>
      </c>
      <c r="D613" s="4" t="inlineStr">
        <is>
          <t>USD 90 international (USD 70 domestic)</t>
        </is>
      </c>
      <c r="E613" s="4" t="inlineStr">
        <is>
          <t>The fee is US$70 for domestic applicants and US$90 for international applicants.</t>
        </is>
      </c>
      <c r="F613" s="4" t="inlineStr">
        <is>
          <t>https://physics.illinois.edu/admissions/graduates/admissions-requirements</t>
        </is>
      </c>
      <c r="G613" s="4" t="inlineStr"/>
      <c r="H613" s="4" t="inlineStr">
        <is>
          <t>2026-10-21</t>
        </is>
      </c>
    </row>
    <row r="614">
      <c r="A614" s="4" t="inlineStr">
        <is>
          <t>University of Illinois Urbana-Champaign</t>
        </is>
      </c>
      <c r="B614" s="4" t="inlineStr">
        <is>
          <t>Intl fee waiver</t>
        </is>
      </c>
      <c r="C614" s="4" t="inlineStr">
        <is>
          <t>Not stated</t>
        </is>
      </c>
      <c r="D614" s="4" t="inlineStr">
        <is>
          <t>No international fee-waiver route stated on the department pages checked</t>
        </is>
      </c>
      <c r="E614" s="4" t="inlineStr">
        <is>
          <t>(no statement found)</t>
        </is>
      </c>
      <c r="F614" s="4" t="inlineStr">
        <is>
          <t>https://physics.illinois.edu/admissions/graduates/admissions-requirements</t>
        </is>
      </c>
      <c r="G614" s="4" t="inlineStr"/>
      <c r="H614" s="4" t="inlineStr">
        <is>
          <t>2026-10-21</t>
        </is>
      </c>
    </row>
    <row r="615">
      <c r="A615" s="4" t="inlineStr">
        <is>
          <t>University of Illinois Urbana-Champaign</t>
        </is>
      </c>
      <c r="B615" s="4" t="inlineStr">
        <is>
          <t>GRE General</t>
        </is>
      </c>
      <c r="C615" s="4" t="inlineStr">
        <is>
          <t>Optional</t>
        </is>
      </c>
      <c r="D615" s="4" t="inlineStr">
        <is>
          <t>Optional this year</t>
        </is>
      </c>
      <c r="E615" s="4" t="inlineStr">
        <is>
          <t>Both the Graduate Record Examination (GRE) General Tests (Verbal, Quantitative, and Analytical) and the GRE Physics Subject Test are optional this year.</t>
        </is>
      </c>
      <c r="F615" s="4" t="inlineStr">
        <is>
          <t>https://physics.illinois.edu/admissions/graduates/admissions-requirements</t>
        </is>
      </c>
      <c r="G615" s="4" t="inlineStr"/>
      <c r="H615" s="4" t="inlineStr">
        <is>
          <t>2026-10-21</t>
        </is>
      </c>
    </row>
    <row r="616">
      <c r="A616" s="4" t="inlineStr">
        <is>
          <t>University of Illinois Urbana-Champaign</t>
        </is>
      </c>
      <c r="B616" s="4" t="inlineStr">
        <is>
          <t>Physics GRE</t>
        </is>
      </c>
      <c r="C616" s="4" t="inlineStr">
        <is>
          <t>Optional</t>
        </is>
      </c>
      <c r="D616" s="4" t="inlineStr">
        <is>
          <t>Optional this year</t>
        </is>
      </c>
      <c r="E616" s="4" t="inlineStr">
        <is>
          <t>GRE General Tests (optional); Physics GRE Subject Test (optional)</t>
        </is>
      </c>
      <c r="F616" s="4" t="inlineStr">
        <is>
          <t>https://physics.illinois.edu/admissions/graduates/apply</t>
        </is>
      </c>
      <c r="G616" s="4" t="inlineStr"/>
      <c r="H616" s="4" t="inlineStr">
        <is>
          <t>2026-10-21</t>
        </is>
      </c>
    </row>
    <row r="617">
      <c r="A617" s="4" t="inlineStr">
        <is>
          <t>University of Illinois Urbana-Champaign</t>
        </is>
      </c>
      <c r="B617" s="4" t="inlineStr">
        <is>
          <t>TOEFL minimum</t>
        </is>
      </c>
      <c r="C617" s="4" t="inlineStr">
        <is>
          <t>Not stated</t>
        </is>
      </c>
      <c r="D617" s="4" t="inlineStr">
        <is>
          <t>TOEFL/IELTS/Duolingo accepted (TOEFL code 1836); minimum not shown on the pages checked</t>
        </is>
      </c>
      <c r="E617" s="4" t="inlineStr">
        <is>
          <t>The institution code for TOEFL is 1836.</t>
        </is>
      </c>
      <c r="F617" s="4" t="inlineStr">
        <is>
          <t>https://physics.illinois.edu/admissions/graduates/apply</t>
        </is>
      </c>
      <c r="G617" s="4" t="inlineStr"/>
      <c r="H617" s="4" t="inlineStr">
        <is>
          <t>2026-10-21</t>
        </is>
      </c>
    </row>
    <row r="618">
      <c r="A618" s="4" t="inlineStr">
        <is>
          <t>University of Illinois Urbana-Champaign</t>
        </is>
      </c>
      <c r="B618" s="4" t="inlineStr">
        <is>
          <t>English-test waiver (English-medium degree)</t>
        </is>
      </c>
      <c r="C618" s="4" t="inlineStr">
        <is>
          <t>No</t>
        </is>
      </c>
      <c r="D618" s="4" t="inlineStr">
        <is>
          <t>Exemption only for degrees/study in the U.S. or an approved English-primary country; India is not on the Graduate College's approved list</t>
        </is>
      </c>
      <c r="E618" s="4" t="inlineStr">
        <is>
          <t>Received a post-secondary degree from a U.S. institution (or an institution within an approved country) within five years of the proposed admission term. | Illinois Graduate Admissions recognizes the following countries as having English as the primary language: Australia, Bahamas, Barbados, Belize, Bermuda, Canada, ...</t>
        </is>
      </c>
      <c r="F618" s="4" t="inlineStr">
        <is>
          <t>https://grad.illinois.edu/admissions/international-applicants</t>
        </is>
      </c>
      <c r="G618" s="4" t="inlineStr"/>
      <c r="H618" s="4" t="inlineStr">
        <is>
          <t>2026-10-21</t>
        </is>
      </c>
    </row>
    <row r="619">
      <c r="A619" s="4" t="inlineStr">
        <is>
          <t>University of Illinois Urbana-Champaign</t>
        </is>
      </c>
      <c r="B619" s="4" t="inlineStr">
        <is>
          <t>Supervisor before admission</t>
        </is>
      </c>
      <c r="C619" s="4" t="inlineStr">
        <is>
          <t>Not stated</t>
        </is>
      </c>
      <c r="D619" s="4" t="inlineStr">
        <is>
          <t>Admission is decided by the department committee; no pre-application supervisor requirement mentioned on the pages checked</t>
        </is>
      </c>
      <c r="E619" s="4" t="inlineStr">
        <is>
          <t>(no statement found)</t>
        </is>
      </c>
      <c r="F619" s="4" t="inlineStr">
        <is>
          <t>https://physics.illinois.edu/admissions/graduates/apply</t>
        </is>
      </c>
      <c r="G619" s="4" t="inlineStr"/>
      <c r="H619" s="4" t="inlineStr">
        <is>
          <t>2026-10-21</t>
        </is>
      </c>
    </row>
    <row r="620">
      <c r="A620" s="4" t="inlineStr">
        <is>
          <t>University of Illinois Urbana-Champaign</t>
        </is>
      </c>
      <c r="B620" s="4" t="inlineStr">
        <is>
          <t>PhD funding</t>
        </is>
      </c>
      <c r="C620" s="4" t="inlineStr">
        <is>
          <t>Typical</t>
        </is>
      </c>
      <c r="D620" s="4" t="inlineStr">
        <is>
          <t>Most admitted students are offered a Teaching Assistantship</t>
        </is>
      </c>
      <c r="E620" s="4" t="inlineStr">
        <is>
          <t>Most students to whom we offer admission are also offered a Teaching Assistantship for financial support.</t>
        </is>
      </c>
      <c r="F620" s="4" t="inlineStr">
        <is>
          <t>https://physics.illinois.edu/admissions/graduates/admissions-requirements</t>
        </is>
      </c>
      <c r="G620" s="4" t="inlineStr"/>
      <c r="H620" s="4" t="inlineStr">
        <is>
          <t>2026-10-21</t>
        </is>
      </c>
    </row>
    <row r="621">
      <c r="A621" s="4" t="inlineStr">
        <is>
          <t>University of Illinois Urbana-Champaign</t>
        </is>
      </c>
      <c r="B621" s="4" t="inlineStr">
        <is>
          <t>Entry route</t>
        </is>
      </c>
      <c r="C621" s="4" t="inlineStr">
        <is>
          <t>Direct from bachelor's</t>
        </is>
      </c>
      <c r="D621" s="4" t="inlineStr">
        <is>
          <t>Final-year bachelor's applicants are considered (overall and advanced-physics GPA)</t>
        </is>
      </c>
      <c r="E621" s="4" t="inlineStr">
        <is>
          <t>For applicants who are currently in the final year of a bachelor's degree program, the department's graduate admissions committee will consider both the overall GPA and the GPA computed for intermediate and advanced physics courses.</t>
        </is>
      </c>
      <c r="F621" s="4" t="inlineStr">
        <is>
          <t>https://physics.illinois.edu/admissions/graduates/admissions-requirements</t>
        </is>
      </c>
      <c r="G621" s="4" t="inlineStr"/>
      <c r="H621" s="4" t="inlineStr">
        <is>
          <t>2026-10-21</t>
        </is>
      </c>
    </row>
    <row r="622">
      <c r="A622" s="4" t="inlineStr">
        <is>
          <t>University of Manitoba</t>
        </is>
      </c>
      <c r="B622" s="4" t="inlineStr">
        <is>
          <t>Deadline (2027 entry)</t>
        </is>
      </c>
      <c r="C622" s="4" t="inlineStr">
        <is>
          <t>2027-01-08</t>
        </is>
      </c>
      <c r="D622" s="4" t="inlineStr">
        <is>
          <t>International applicants: January 8 for Fall (September) entry; applications reviewed on a rolling basis (Canadian/US: May 15). Taken from the Physics block of the program page's deadline widget; year inferred for Fall 2027.</t>
        </is>
      </c>
      <c r="E622" s="4" t="inlineStr">
        <is>
          <t>Applications are reviewed on a rolling basis. | International applicants | Annual application deadlines | Fall (September) | January 8 | Winter (January) | March 30 | Summer (May) | August 1</t>
        </is>
      </c>
      <c r="F622" s="4" t="inlineStr">
        <is>
          <t>https://umanitoba.ca/explore/programs-of-study/physics-phd</t>
        </is>
      </c>
      <c r="G622" s="4" t="inlineStr">
        <is>
          <t>year inferred</t>
        </is>
      </c>
      <c r="H622" s="4" t="inlineStr">
        <is>
          <t>2026-10-21</t>
        </is>
      </c>
    </row>
    <row r="623">
      <c r="A623" s="4" t="inlineStr">
        <is>
          <t>University of Manitoba</t>
        </is>
      </c>
      <c r="B623" s="4" t="inlineStr">
        <is>
          <t>Application fee</t>
        </is>
      </c>
      <c r="C623" s="4" t="inlineStr">
        <is>
          <t>130 CAD</t>
        </is>
      </c>
      <c r="D623" s="4" t="inlineStr">
        <is>
          <t>International applicants CAD 130 (domestic CAD 100), non-refundable</t>
        </is>
      </c>
      <c r="E623" s="4" t="inlineStr">
        <is>
          <t>International student application fee: $130 CDN | The application fee is non-refundable.</t>
        </is>
      </c>
      <c r="F623" s="4" t="inlineStr">
        <is>
          <t>https://umanitoba.ca/graduate-studies/graduate-student-admissions/apply-graduate-studies</t>
        </is>
      </c>
      <c r="G623" s="4" t="inlineStr"/>
      <c r="H623" s="4" t="inlineStr">
        <is>
          <t>2026-10-21</t>
        </is>
      </c>
    </row>
    <row r="624">
      <c r="A624" s="4" t="inlineStr">
        <is>
          <t>University of Manitoba</t>
        </is>
      </c>
      <c r="B624" s="4" t="inlineStr">
        <is>
          <t>Intl fee waiver</t>
        </is>
      </c>
      <c r="C624" s="4" t="inlineStr">
        <is>
          <t>Not stated</t>
        </is>
      </c>
      <c r="D624" s="4" t="inlineStr">
        <is>
          <t>Not stated on the page checked</t>
        </is>
      </c>
      <c r="E624" s="4" t="inlineStr">
        <is>
          <t>(no statement found)</t>
        </is>
      </c>
      <c r="F624" s="4" t="inlineStr">
        <is>
          <t>https://umanitoba.ca/graduate-studies/graduate-student-admissions/apply-graduate-studies</t>
        </is>
      </c>
      <c r="G624" s="4" t="inlineStr"/>
      <c r="H624" s="4" t="inlineStr">
        <is>
          <t>2026-10-21</t>
        </is>
      </c>
    </row>
    <row r="625">
      <c r="A625" s="4" t="inlineStr">
        <is>
          <t>University of Manitoba</t>
        </is>
      </c>
      <c r="B625" s="4" t="inlineStr">
        <is>
          <t>GRE General</t>
        </is>
      </c>
      <c r="C625" s="4" t="inlineStr">
        <is>
          <t>Not stated</t>
        </is>
      </c>
      <c r="D625" s="4" t="inlineStr">
        <is>
          <t>Not stated on the page checked</t>
        </is>
      </c>
      <c r="E625" s="4" t="inlineStr">
        <is>
          <t>(no statement found)</t>
        </is>
      </c>
      <c r="F625" s="4" t="inlineStr">
        <is>
          <t>https://umanitoba.ca/science/physics-and-astronomy/graduate-programs-application-info</t>
        </is>
      </c>
      <c r="G625" s="4" t="inlineStr"/>
      <c r="H625" s="4" t="inlineStr">
        <is>
          <t>2026-10-21</t>
        </is>
      </c>
    </row>
    <row r="626">
      <c r="A626" s="4" t="inlineStr">
        <is>
          <t>University of Manitoba</t>
        </is>
      </c>
      <c r="B626" s="4" t="inlineStr">
        <is>
          <t>Physics GRE</t>
        </is>
      </c>
      <c r="C626" s="4" t="inlineStr">
        <is>
          <t>Recommended</t>
        </is>
      </c>
      <c r="D626" s="4" t="inlineStr">
        <is>
          <t>Physics GRE preferred for PhD applicants but not mandatory; ask potential advisors about their preference</t>
        </is>
      </c>
      <c r="E626" s="4" t="inlineStr">
        <is>
          <t>GRE physics subject test score for PhD applicants is preferred but not mandatory; please inquire with potential advisors about their preference.</t>
        </is>
      </c>
      <c r="F626" s="4" t="inlineStr">
        <is>
          <t>https://umanitoba.ca/science/physics-and-astronomy/graduate-programs-application-info</t>
        </is>
      </c>
      <c r="G626" s="4" t="inlineStr"/>
      <c r="H626" s="4" t="inlineStr">
        <is>
          <t>2026-10-21</t>
        </is>
      </c>
    </row>
    <row r="627">
      <c r="A627" s="4" t="inlineStr">
        <is>
          <t>University of Manitoba</t>
        </is>
      </c>
      <c r="B627" s="4" t="inlineStr">
        <is>
          <t>TOEFL minimum</t>
        </is>
      </c>
      <c r="C627" s="4" t="inlineStr">
        <is>
          <t>86</t>
        </is>
      </c>
      <c r="D627" s="4" t="inlineStr">
        <is>
          <t>TOEFL iBT 86 overall with 20 in each section (tests to Jan 20, 2026); 4.5 overall with 4.0 per section on the new scale; IELTS 6.5; Duolingo 120</t>
        </is>
      </c>
      <c r="E627" s="4" t="inlineStr">
        <is>
          <t>For tests taken up to January 20, 2026: | Overall score of 86 | 20 in Reading | For tests taken on or after January 21, 2026: | Overall score of 4.5</t>
        </is>
      </c>
      <c r="F627" s="4" t="inlineStr">
        <is>
          <t>https://umanitoba.ca/graduate-studies/graduate-student-admissions/requirements</t>
        </is>
      </c>
      <c r="G627" s="4" t="inlineStr"/>
      <c r="H627" s="4" t="inlineStr">
        <is>
          <t>2026-10-21</t>
        </is>
      </c>
    </row>
    <row r="628">
      <c r="A628" s="4" t="inlineStr">
        <is>
          <t>University of Manitoba</t>
        </is>
      </c>
      <c r="B628" s="4" t="inlineStr">
        <is>
          <t>English-test waiver (English-medium degree)</t>
        </is>
      </c>
      <c r="C628" s="4" t="inlineStr">
        <is>
          <t>No</t>
        </is>
      </c>
      <c r="D628" s="4" t="inlineStr">
        <is>
          <t>Exemption only for degrees/diplomas from Canada or listed countries; India is not on the exemption list</t>
        </is>
      </c>
      <c r="E628" s="4" t="inlineStr">
        <is>
          <t>Applicants holding secondary school diplomas and/or university degrees from the following countries are exempt from the English Language Proficiency Test requirement.</t>
        </is>
      </c>
      <c r="F628" s="4" t="inlineStr">
        <is>
          <t>https://umanitoba.ca/graduate-studies/graduate-student-admissions/requirements</t>
        </is>
      </c>
      <c r="G628" s="4" t="inlineStr"/>
      <c r="H628" s="4" t="inlineStr">
        <is>
          <t>2026-10-21</t>
        </is>
      </c>
    </row>
    <row r="629">
      <c r="A629" s="4" t="inlineStr">
        <is>
          <t>University of Manitoba</t>
        </is>
      </c>
      <c r="B629" s="4" t="inlineStr">
        <is>
          <t>Supervisor before admission</t>
        </is>
      </c>
      <c r="C629" s="4" t="inlineStr">
        <is>
          <t>Required</t>
        </is>
      </c>
      <c r="D629" s="4" t="inlineStr">
        <is>
          <t>Department cannot admit without a formal advisor commitment; contact a prospective advisor (via the associate head) before applying, and name your preferred supervisor in the application</t>
        </is>
      </c>
      <c r="E629" s="4" t="inlineStr">
        <is>
          <t>The Department of Physics and Astronomy cannot admit graduate students without the formal commitment of an advisor. | Direct application to the Faculty of Graduate and Postdoctoral Studies without prior contact with a potential advisor may not succeed and will result in the loss of the application fee  ||  The name of your preferred supervisor is required at time of application. (https://umanitoba.ca/explore/programs-of-study/physics-phd)</t>
        </is>
      </c>
      <c r="F629" s="4" t="inlineStr">
        <is>
          <t>https://umanitoba.ca/science/physics-and-astronomy/graduate-programs-application-info</t>
        </is>
      </c>
      <c r="G629" s="4" t="inlineStr"/>
      <c r="H629" s="4" t="inlineStr">
        <is>
          <t>2026-10-21</t>
        </is>
      </c>
    </row>
    <row r="630">
      <c r="A630" s="4" t="inlineStr">
        <is>
          <t>University of Manitoba</t>
        </is>
      </c>
      <c r="B630" s="4" t="inlineStr">
        <is>
          <t>PhD funding</t>
        </is>
      </c>
      <c r="C630" s="4" t="inlineStr">
        <is>
          <t>Guaranteed</t>
        </is>
      </c>
      <c r="D630" s="4" t="inlineStr">
        <is>
          <t>All students admitted to research-based graduate programs are guaranteed a department-set minimum stipend; 2026-27 PhD stipends CAD 27,000 (grant funded) to 40,000 (NSERC), excluding up to CAD 3,000 TA income</t>
        </is>
      </c>
      <c r="E630" s="4" t="inlineStr">
        <is>
          <t>All students who are accepted into a research-based graduate program are guaranteed a basic minimum stipend, which is set by the department on an annual basis. | Grant funded | $ 27,000</t>
        </is>
      </c>
      <c r="F630" s="4" t="inlineStr">
        <is>
          <t>https://umanitoba.ca/science/student-experience/financial-aid-awards/physics-and-astronomy</t>
        </is>
      </c>
      <c r="G630" s="4" t="inlineStr"/>
      <c r="H630" s="4" t="inlineStr">
        <is>
          <t>2026-10-21</t>
        </is>
      </c>
    </row>
    <row r="631">
      <c r="A631" s="4" t="inlineStr">
        <is>
          <t>University of Manitoba</t>
        </is>
      </c>
      <c r="B631" s="4" t="inlineStr">
        <is>
          <t>Entry route</t>
        </is>
      </c>
      <c r="C631" s="4" t="inlineStr">
        <is>
          <t>Master's usually required</t>
        </is>
      </c>
      <c r="D631" s="4" t="inlineStr">
        <is>
          <t>PhD normally requires a master's; exceptional honours-bachelor's applicants may be considered on special department recommendation; master's students can transfer</t>
        </is>
      </c>
      <c r="E631" s="4" t="inlineStr">
        <is>
          <t>A master's degree or equivalent from a recognized university with a cumulative GPA of 3.0 in the last two years of full-time university study  ||  With special recommendation of the department, exceptional applicants with an honours bachelor’s degree may be considered for entry to PhD study. (https://umanitoba.ca/graduate-studies/graduate-student-admissions/requirements)</t>
        </is>
      </c>
      <c r="F631" s="4" t="inlineStr">
        <is>
          <t>https://umanitoba.ca/explore/programs-of-study/physics-phd</t>
        </is>
      </c>
      <c r="G631" s="4" t="inlineStr"/>
      <c r="H631" s="4" t="inlineStr">
        <is>
          <t>2026-10-21</t>
        </is>
      </c>
    </row>
    <row r="632">
      <c r="A632" s="4" t="inlineStr">
        <is>
          <t>University of Maryland, College Park</t>
        </is>
      </c>
      <c r="B632" s="4" t="inlineStr">
        <is>
          <t>Deadline (2027 entry)</t>
        </is>
      </c>
      <c r="C632" s="4" t="inlineStr">
        <is>
          <t>2026-12-11</t>
        </is>
      </c>
      <c r="D632" s="4" t="inlineStr">
        <is>
          <t>December 11, 2026 for Fall 2027 (domestic and international)</t>
        </is>
      </c>
      <c r="E632" s="4" t="inlineStr">
        <is>
          <t>Fall Deadline Domestic Applicants US Citizens and Permanent Residents December 11, 2026 International Applicants F (student) or J (exchange visitor) visas; A,E,G,H,I and L visas and immigrants December 11, 2026</t>
        </is>
      </c>
      <c r="F632" s="4" t="inlineStr">
        <is>
          <t>https://academiccatalog.umd.edu/graduate/programs/physics-phys/</t>
        </is>
      </c>
      <c r="G632" s="4" t="inlineStr"/>
      <c r="H632" s="4" t="inlineStr">
        <is>
          <t>2026-10-21</t>
        </is>
      </c>
    </row>
    <row r="633">
      <c r="A633" s="4" t="inlineStr">
        <is>
          <t>University of Maryland, College Park</t>
        </is>
      </c>
      <c r="B633" s="4" t="inlineStr">
        <is>
          <t>Application fee</t>
        </is>
      </c>
      <c r="C633" s="4" t="inlineStr">
        <is>
          <t>Not stated</t>
        </is>
      </c>
      <c r="D633" s="4" t="inlineStr">
        <is>
          <t>Amount not shown on the pages checked</t>
        </is>
      </c>
      <c r="E633" s="4" t="inlineStr">
        <is>
          <t>(no statement found)</t>
        </is>
      </c>
      <c r="F633" s="4" t="inlineStr">
        <is>
          <t>https://academiccatalog.umd.edu/graduate/programs/physics-phys/</t>
        </is>
      </c>
      <c r="G633" s="4" t="inlineStr"/>
      <c r="H633" s="4" t="inlineStr">
        <is>
          <t>2026-10-21</t>
        </is>
      </c>
    </row>
    <row r="634">
      <c r="A634" s="4" t="inlineStr">
        <is>
          <t>University of Maryland, College Park</t>
        </is>
      </c>
      <c r="B634" s="4" t="inlineStr">
        <is>
          <t>Intl fee waiver</t>
        </is>
      </c>
      <c r="C634" s="4" t="inlineStr">
        <is>
          <t>Not stated</t>
        </is>
      </c>
      <c r="D634" s="4" t="inlineStr">
        <is>
          <t>Not stated on the pages checked</t>
        </is>
      </c>
      <c r="E634" s="4" t="inlineStr">
        <is>
          <t>(no statement found)</t>
        </is>
      </c>
      <c r="F634" s="4" t="inlineStr">
        <is>
          <t>https://academiccatalog.umd.edu/graduate/programs/physics-phys/</t>
        </is>
      </c>
      <c r="G634" s="4" t="inlineStr"/>
      <c r="H634" s="4" t="inlineStr">
        <is>
          <t>2026-10-21</t>
        </is>
      </c>
    </row>
    <row r="635">
      <c r="A635" s="4" t="inlineStr">
        <is>
          <t>University of Maryland, College Park</t>
        </is>
      </c>
      <c r="B635" s="4" t="inlineStr">
        <is>
          <t>GRE General</t>
        </is>
      </c>
      <c r="C635" s="4" t="inlineStr">
        <is>
          <t>Not stated</t>
        </is>
      </c>
      <c r="D635" s="4" t="inlineStr">
        <is>
          <t>Only the Physics subject GRE is listed (optional)</t>
        </is>
      </c>
      <c r="E635" s="4" t="inlineStr">
        <is>
          <t>(no statement found)</t>
        </is>
      </c>
      <c r="F635" s="4" t="inlineStr">
        <is>
          <t>https://academiccatalog.umd.edu/graduate/programs/physics-phys/</t>
        </is>
      </c>
      <c r="G635" s="4" t="inlineStr"/>
      <c r="H635" s="4" t="inlineStr">
        <is>
          <t>2026-10-21</t>
        </is>
      </c>
    </row>
    <row r="636">
      <c r="A636" s="4" t="inlineStr">
        <is>
          <t>University of Maryland, College Park</t>
        </is>
      </c>
      <c r="B636" s="4" t="inlineStr">
        <is>
          <t>Physics GRE</t>
        </is>
      </c>
      <c r="C636" s="4" t="inlineStr">
        <is>
          <t>Optional</t>
        </is>
      </c>
      <c r="D636" s="4" t="inlineStr">
        <is>
          <t>GRE Subject (Physics) listed as optional</t>
        </is>
      </c>
      <c r="E636" s="4" t="inlineStr">
        <is>
          <t>GRE Subject (Physics) (optional)</t>
        </is>
      </c>
      <c r="F636" s="4" t="inlineStr">
        <is>
          <t>https://academiccatalog.umd.edu/graduate/programs/physics-phys/</t>
        </is>
      </c>
      <c r="G636" s="4" t="inlineStr"/>
      <c r="H636" s="4" t="inlineStr">
        <is>
          <t>2026-10-21</t>
        </is>
      </c>
    </row>
    <row r="637">
      <c r="A637" s="4" t="inlineStr">
        <is>
          <t>University of Maryland, College Park</t>
        </is>
      </c>
      <c r="B637" s="4" t="inlineStr">
        <is>
          <t>TOEFL minimum</t>
        </is>
      </c>
      <c r="C637" s="4" t="inlineStr">
        <is>
          <t>Not stated</t>
        </is>
      </c>
      <c r="D637" s="4" t="inlineStr">
        <is>
          <t>TOEFL/IELTS/PTE required for international applicants; minimum not shown on the page checked</t>
        </is>
      </c>
      <c r="E637" s="4" t="inlineStr">
        <is>
          <t>TOEFL/IELTS/PTE (international graduate students)</t>
        </is>
      </c>
      <c r="F637" s="4" t="inlineStr">
        <is>
          <t>https://academiccatalog.umd.edu/graduate/programs/physics-phys/</t>
        </is>
      </c>
      <c r="G637" s="4" t="inlineStr"/>
      <c r="H637" s="4" t="inlineStr">
        <is>
          <t>2026-10-21</t>
        </is>
      </c>
    </row>
    <row r="638">
      <c r="A638" s="4" t="inlineStr">
        <is>
          <t>University of Maryland, College Park</t>
        </is>
      </c>
      <c r="B638" s="4" t="inlineStr">
        <is>
          <t>English-test waiver (English-medium degree)</t>
        </is>
      </c>
      <c r="C638" s="4" t="inlineStr">
        <is>
          <t>Not stated</t>
        </is>
      </c>
      <c r="D638" s="4" t="inlineStr">
        <is>
          <t>Not stated on the page checked</t>
        </is>
      </c>
      <c r="E638" s="4" t="inlineStr">
        <is>
          <t>(no statement found)</t>
        </is>
      </c>
      <c r="F638" s="4" t="inlineStr">
        <is>
          <t>https://academiccatalog.umd.edu/graduate/programs/physics-phys/</t>
        </is>
      </c>
      <c r="G638" s="4" t="inlineStr"/>
      <c r="H638" s="4" t="inlineStr">
        <is>
          <t>2026-10-21</t>
        </is>
      </c>
    </row>
    <row r="639">
      <c r="A639" s="4" t="inlineStr">
        <is>
          <t>University of Maryland, College Park</t>
        </is>
      </c>
      <c r="B639" s="4" t="inlineStr">
        <is>
          <t>Supervisor before admission</t>
        </is>
      </c>
      <c r="C639" s="4" t="inlineStr">
        <is>
          <t>Not stated</t>
        </is>
      </c>
      <c r="D639" s="4" t="inlineStr">
        <is>
          <t>No pre-application supervisor requirement mentioned</t>
        </is>
      </c>
      <c r="E639" s="4" t="inlineStr">
        <is>
          <t>(no statement found)</t>
        </is>
      </c>
      <c r="F639" s="4" t="inlineStr">
        <is>
          <t>https://academiccatalog.umd.edu/graduate/programs/physics-phys/</t>
        </is>
      </c>
      <c r="G639" s="4" t="inlineStr"/>
      <c r="H639" s="4" t="inlineStr">
        <is>
          <t>2026-10-21</t>
        </is>
      </c>
    </row>
    <row r="640">
      <c r="A640" s="4" t="inlineStr">
        <is>
          <t>University of Maryland, College Park</t>
        </is>
      </c>
      <c r="B640" s="4" t="inlineStr">
        <is>
          <t>PhD funding</t>
        </is>
      </c>
      <c r="C640" s="4" t="inlineStr">
        <is>
          <t>Typical</t>
        </is>
      </c>
      <c r="D640" s="4" t="inlineStr">
        <is>
          <t>Virtually all PhD students have full support for the duration</t>
        </is>
      </c>
      <c r="E640" s="4" t="inlineStr">
        <is>
          <t>Combined with fellowships in some cases, virtually all Ph.D. students have full financial support for the duration of their graduate studies.</t>
        </is>
      </c>
      <c r="F640" s="4" t="inlineStr">
        <is>
          <t>https://academiccatalog.umd.edu/graduate/programs/physics-phys/</t>
        </is>
      </c>
      <c r="G640" s="4" t="inlineStr"/>
      <c r="H640" s="4" t="inlineStr">
        <is>
          <t>2026-10-21</t>
        </is>
      </c>
    </row>
    <row r="641">
      <c r="A641" s="4" t="inlineStr">
        <is>
          <t>University of Maryland, College Park</t>
        </is>
      </c>
      <c r="B641" s="4" t="inlineStr">
        <is>
          <t>Entry route</t>
        </is>
      </c>
      <c r="C641" s="4" t="inlineStr">
        <is>
          <t>Not stated</t>
        </is>
      </c>
      <c r="D641" s="4" t="inlineStr">
        <is>
          <t>Not stated on the page checked</t>
        </is>
      </c>
      <c r="E641" s="4" t="inlineStr">
        <is>
          <t>(no statement found)</t>
        </is>
      </c>
      <c r="F641" s="4" t="inlineStr">
        <is>
          <t>https://academiccatalog.umd.edu/graduate/programs/physics-phys/</t>
        </is>
      </c>
      <c r="G641" s="4" t="inlineStr"/>
      <c r="H641" s="4" t="inlineStr">
        <is>
          <t>2026-10-21</t>
        </is>
      </c>
    </row>
    <row r="642">
      <c r="A642" s="4" t="inlineStr">
        <is>
          <t>University of Minnesota (Twin Cities)</t>
        </is>
      </c>
      <c r="B642" s="4" t="inlineStr">
        <is>
          <t>Deadline (2027 entry)</t>
        </is>
      </c>
      <c r="C642" s="4" t="inlineStr">
        <is>
          <t>2026-12-15</t>
        </is>
      </c>
      <c r="D642" s="4" t="inlineStr">
        <is>
          <t>December 15 for the following fall (window September-December). Year inferred.</t>
        </is>
      </c>
      <c r="E642" s="4" t="inlineStr">
        <is>
          <t>All application materials must be submitted by our application deadline of DECEMBER 15th.</t>
        </is>
      </c>
      <c r="F642" s="4" t="inlineStr">
        <is>
          <t>https://cse.umn.edu/physics/graduate-admissions</t>
        </is>
      </c>
      <c r="G642" s="4" t="inlineStr">
        <is>
          <t>year inferred</t>
        </is>
      </c>
      <c r="H642" s="4" t="inlineStr">
        <is>
          <t>2026-10-21</t>
        </is>
      </c>
    </row>
    <row r="643">
      <c r="A643" s="4" t="inlineStr">
        <is>
          <t>University of Minnesota (Twin Cities)</t>
        </is>
      </c>
      <c r="B643" s="4" t="inlineStr">
        <is>
          <t>Application fee</t>
        </is>
      </c>
      <c r="C643" s="4" t="inlineStr">
        <is>
          <t>Not stated</t>
        </is>
      </c>
      <c r="D643" s="4" t="inlineStr">
        <is>
          <t>Amount not shown on the page checked; application incomplete until paid</t>
        </is>
      </c>
      <c r="E643" s="4" t="inlineStr">
        <is>
          <t>The online application is not complete until the application fee has been paid.</t>
        </is>
      </c>
      <c r="F643" s="4" t="inlineStr">
        <is>
          <t>https://cse.umn.edu/physics/graduate-admissions</t>
        </is>
      </c>
      <c r="G643" s="4" t="inlineStr"/>
      <c r="H643" s="4" t="inlineStr">
        <is>
          <t>2026-10-21</t>
        </is>
      </c>
    </row>
    <row r="644">
      <c r="A644" s="4" t="inlineStr">
        <is>
          <t>University of Minnesota (Twin Cities)</t>
        </is>
      </c>
      <c r="B644" s="4" t="inlineStr">
        <is>
          <t>Intl fee waiver</t>
        </is>
      </c>
      <c r="C644" s="4" t="inlineStr">
        <is>
          <t>Not stated</t>
        </is>
      </c>
      <c r="D644" s="4" t="inlineStr">
        <is>
          <t>Not stated on the page checked</t>
        </is>
      </c>
      <c r="E644" s="4" t="inlineStr">
        <is>
          <t>(no statement found)</t>
        </is>
      </c>
      <c r="F644" s="4" t="inlineStr">
        <is>
          <t>https://cse.umn.edu/physics/graduate-admissions</t>
        </is>
      </c>
      <c r="G644" s="4" t="inlineStr"/>
      <c r="H644" s="4" t="inlineStr">
        <is>
          <t>2026-10-21</t>
        </is>
      </c>
    </row>
    <row r="645">
      <c r="A645" s="4" t="inlineStr">
        <is>
          <t>University of Minnesota (Twin Cities)</t>
        </is>
      </c>
      <c r="B645" s="4" t="inlineStr">
        <is>
          <t>GRE General</t>
        </is>
      </c>
      <c r="C645" s="4" t="inlineStr">
        <is>
          <t>Not considered</t>
        </is>
      </c>
      <c r="D645" s="4" t="inlineStr">
        <is>
          <t>Not required and not used for decisions</t>
        </is>
      </c>
      <c r="E645" s="4" t="inlineStr">
        <is>
          <t>The University application page allows you to enter GRE results, but the Physics program does not use them for admission decisions.</t>
        </is>
      </c>
      <c r="F645" s="4" t="inlineStr">
        <is>
          <t>https://cse.umn.edu/physics/graduate-admissions</t>
        </is>
      </c>
      <c r="G645" s="4" t="inlineStr"/>
      <c r="H645" s="4" t="inlineStr">
        <is>
          <t>2026-10-21</t>
        </is>
      </c>
    </row>
    <row r="646">
      <c r="A646" s="4" t="inlineStr">
        <is>
          <t>University of Minnesota (Twin Cities)</t>
        </is>
      </c>
      <c r="B646" s="4" t="inlineStr">
        <is>
          <t>Physics GRE</t>
        </is>
      </c>
      <c r="C646" s="4" t="inlineStr">
        <is>
          <t>Not considered</t>
        </is>
      </c>
      <c r="D646" s="4" t="inlineStr">
        <is>
          <t>Not required and not used for decisions</t>
        </is>
      </c>
      <c r="E646" s="4" t="inlineStr">
        <is>
          <t>We do not require results from the GRE for admission.</t>
        </is>
      </c>
      <c r="F646" s="4" t="inlineStr">
        <is>
          <t>https://cse.umn.edu/physics/graduate-admissions</t>
        </is>
      </c>
      <c r="G646" s="4" t="inlineStr"/>
      <c r="H646" s="4" t="inlineStr">
        <is>
          <t>2026-10-21</t>
        </is>
      </c>
    </row>
    <row r="647">
      <c r="A647" s="4" t="inlineStr">
        <is>
          <t>University of Minnesota (Twin Cities)</t>
        </is>
      </c>
      <c r="B647" s="4" t="inlineStr">
        <is>
          <t>TOEFL minimum</t>
        </is>
      </c>
      <c r="C647" s="4" t="inlineStr">
        <is>
          <t>79</t>
        </is>
      </c>
      <c r="D647" s="4" t="inlineStr">
        <is>
          <t>TOEFL 79 total; IELTS 6.5 total</t>
        </is>
      </c>
      <c r="E647" s="4" t="inlineStr">
        <is>
          <t>Your total TOEFL score must be 79. | Your IELTS total score must be 6.5.</t>
        </is>
      </c>
      <c r="F647" s="4" t="inlineStr">
        <is>
          <t>https://cse.umn.edu/physics/graduate-admissions</t>
        </is>
      </c>
      <c r="G647" s="4" t="inlineStr"/>
      <c r="H647" s="4" t="inlineStr">
        <is>
          <t>2026-10-21</t>
        </is>
      </c>
    </row>
    <row r="648">
      <c r="A648" s="4" t="inlineStr">
        <is>
          <t>University of Minnesota (Twin Cities)</t>
        </is>
      </c>
      <c r="B648" s="4" t="inlineStr">
        <is>
          <t>English-test waiver (English-medium degree)</t>
        </is>
      </c>
      <c r="C648" s="4" t="inlineStr">
        <is>
          <t>Not stated</t>
        </is>
      </c>
      <c r="D648" s="4" t="inlineStr">
        <is>
          <t>Exemption rules not shown on the page checked</t>
        </is>
      </c>
      <c r="E648" s="4" t="inlineStr">
        <is>
          <t>(no statement found)</t>
        </is>
      </c>
      <c r="F648" s="4" t="inlineStr">
        <is>
          <t>https://cse.umn.edu/physics/graduate-admissions</t>
        </is>
      </c>
      <c r="G648" s="4" t="inlineStr"/>
      <c r="H648" s="4" t="inlineStr">
        <is>
          <t>2026-10-21</t>
        </is>
      </c>
    </row>
    <row r="649">
      <c r="A649" s="4" t="inlineStr">
        <is>
          <t>University of Minnesota (Twin Cities)</t>
        </is>
      </c>
      <c r="B649" s="4" t="inlineStr">
        <is>
          <t>Supervisor before admission</t>
        </is>
      </c>
      <c r="C649" s="4" t="inlineStr">
        <is>
          <t>Not stated</t>
        </is>
      </c>
      <c r="D649" s="4" t="inlineStr">
        <is>
          <t>No pre-application supervisor requirement mentioned</t>
        </is>
      </c>
      <c r="E649" s="4" t="inlineStr">
        <is>
          <t>(no statement found)</t>
        </is>
      </c>
      <c r="F649" s="4" t="inlineStr">
        <is>
          <t>https://cse.umn.edu/physics/graduate-admissions</t>
        </is>
      </c>
      <c r="G649" s="4" t="inlineStr"/>
      <c r="H649" s="4" t="inlineStr">
        <is>
          <t>2026-10-21</t>
        </is>
      </c>
    </row>
    <row r="650">
      <c r="A650" s="4" t="inlineStr">
        <is>
          <t>University of Minnesota (Twin Cities)</t>
        </is>
      </c>
      <c r="B650" s="4" t="inlineStr">
        <is>
          <t>PhD funding</t>
        </is>
      </c>
      <c r="C650" s="4" t="inlineStr">
        <is>
          <t>Not stated</t>
        </is>
      </c>
      <c r="D650" s="4" t="inlineStr">
        <is>
          <t>Not stated on the page checked</t>
        </is>
      </c>
      <c r="E650" s="4" t="inlineStr">
        <is>
          <t>(no statement found)</t>
        </is>
      </c>
      <c r="F650" s="4" t="inlineStr">
        <is>
          <t>https://cse.umn.edu/physics/graduate-admissions</t>
        </is>
      </c>
      <c r="G650" s="4" t="inlineStr"/>
      <c r="H650" s="4" t="inlineStr">
        <is>
          <t>2026-10-21</t>
        </is>
      </c>
    </row>
    <row r="651">
      <c r="A651" s="4" t="inlineStr">
        <is>
          <t>University of Minnesota (Twin Cities)</t>
        </is>
      </c>
      <c r="B651" s="4" t="inlineStr">
        <is>
          <t>Entry route</t>
        </is>
      </c>
      <c r="C651" s="4" t="inlineStr">
        <is>
          <t>Not stated</t>
        </is>
      </c>
      <c r="D651" s="4" t="inlineStr">
        <is>
          <t>Not stated on the page checked</t>
        </is>
      </c>
      <c r="E651" s="4" t="inlineStr">
        <is>
          <t>(no statement found)</t>
        </is>
      </c>
      <c r="F651" s="4" t="inlineStr">
        <is>
          <t>https://cse.umn.edu/physics/graduate-admissions</t>
        </is>
      </c>
      <c r="G651" s="4" t="inlineStr"/>
      <c r="H651" s="4" t="inlineStr">
        <is>
          <t>2026-10-21</t>
        </is>
      </c>
    </row>
    <row r="652">
      <c r="A652" s="4" t="inlineStr">
        <is>
          <t>University of Notre Dame</t>
        </is>
      </c>
      <c r="B652" s="4" t="inlineStr">
        <is>
          <t>Deadline (2027 entry)</t>
        </is>
      </c>
      <c r="C652" s="4" t="inlineStr">
        <is>
          <t>2026-12-15</t>
        </is>
      </c>
      <c r="D652" s="4" t="inlineStr">
        <is>
          <t>December 15 for full consideration (year inferred); primarily fall entry</t>
        </is>
      </c>
      <c r="E652" s="4" t="inlineStr">
        <is>
          <t>Applications should be submitted by December 15th for full consideration. We admit primarily students who start in the fall.</t>
        </is>
      </c>
      <c r="F652" s="4" t="inlineStr">
        <is>
          <t>https://physics.nd.edu/graduate/apply/</t>
        </is>
      </c>
      <c r="G652" s="4" t="inlineStr">
        <is>
          <t>year inferred</t>
        </is>
      </c>
      <c r="H652" s="4" t="inlineStr">
        <is>
          <t>2026-10-21</t>
        </is>
      </c>
    </row>
    <row r="653">
      <c r="A653" s="4" t="inlineStr">
        <is>
          <t>University of Notre Dame</t>
        </is>
      </c>
      <c r="B653" s="4" t="inlineStr">
        <is>
          <t>Application fee</t>
        </is>
      </c>
      <c r="C653" s="4" t="inlineStr">
        <is>
          <t>75 USD</t>
        </is>
      </c>
      <c r="D653" s="4" t="inlineStr">
        <is>
          <t>USD 75 per application (Graduate School)</t>
        </is>
      </c>
      <c r="E653" s="4" t="inlineStr">
        <is>
          <t>There is a $75 application fee for each application.</t>
        </is>
      </c>
      <c r="F653" s="4" t="inlineStr">
        <is>
          <t>https://graduateschool.nd.edu/admissions/application-requirements/application-fee-and-waiver/</t>
        </is>
      </c>
      <c r="G653" s="4" t="inlineStr"/>
      <c r="H653" s="4" t="inlineStr">
        <is>
          <t>2026-10-21</t>
        </is>
      </c>
    </row>
    <row r="654">
      <c r="A654" s="4" t="inlineStr">
        <is>
          <t>University of Notre Dame</t>
        </is>
      </c>
      <c r="B654" s="4" t="inlineStr">
        <is>
          <t>Intl fee waiver</t>
        </is>
      </c>
      <c r="C654" s="4" t="inlineStr">
        <is>
          <t>Available</t>
        </is>
      </c>
      <c r="D654" s="4" t="inlineStr">
        <is>
          <t>Graduate School waivers for need/financial hardship (bank or mobile-money statement accepted), veterans, national-fellowship applicants, or at department discretion; no citizenship limit stated. Physics also offers a limited number of departmental waivers.</t>
        </is>
      </c>
      <c r="E654" s="4" t="inlineStr">
        <is>
          <t>Applicants to Graduate School-administered degree programs [1] are eligible for an application fee waiver. | on the basis of need or financial hardship | Bank statement/mobile money statement  ||  The Department of Physics and Astronomy provides a limited number of application fee waivers. (https://physics.nd.edu/graduate/apply/)</t>
        </is>
      </c>
      <c r="F654" s="4" t="inlineStr">
        <is>
          <t>https://graduateschool.nd.edu/admissions/application-requirements/application-fee-and-waiver/</t>
        </is>
      </c>
      <c r="G654" s="4" t="inlineStr"/>
      <c r="H654" s="4" t="inlineStr">
        <is>
          <t>2026-10-21</t>
        </is>
      </c>
    </row>
    <row r="655">
      <c r="A655" s="4" t="inlineStr">
        <is>
          <t>University of Notre Dame</t>
        </is>
      </c>
      <c r="B655" s="4" t="inlineStr">
        <is>
          <t>GRE General</t>
        </is>
      </c>
      <c r="C655" s="4" t="inlineStr">
        <is>
          <t>Not considered</t>
        </is>
      </c>
      <c r="D655" s="4" t="inlineStr">
        <is>
          <t>General GRE not required or accepted (page wording refers to "applications in 2025")</t>
        </is>
      </c>
      <c r="E655" s="4" t="inlineStr">
        <is>
          <t>The Subject and General GRE scores are not required or accepted for applications in 2025.</t>
        </is>
      </c>
      <c r="F655" s="4" t="inlineStr">
        <is>
          <t>https://physics.nd.edu/graduate/apply/</t>
        </is>
      </c>
      <c r="G655" s="4" t="inlineStr"/>
      <c r="H655" s="4" t="inlineStr">
        <is>
          <t>2026-10-21</t>
        </is>
      </c>
    </row>
    <row r="656">
      <c r="A656" s="4" t="inlineStr">
        <is>
          <t>University of Notre Dame</t>
        </is>
      </c>
      <c r="B656" s="4" t="inlineStr">
        <is>
          <t>Physics GRE</t>
        </is>
      </c>
      <c r="C656" s="4" t="inlineStr">
        <is>
          <t>Not considered</t>
        </is>
      </c>
      <c r="D656" s="4" t="inlineStr">
        <is>
          <t>Physics subject GRE not required or accepted (page wording refers to "applications in 2025")</t>
        </is>
      </c>
      <c r="E656" s="4" t="inlineStr">
        <is>
          <t>The Subject and General GRE scores are not required or accepted for applications in 2025.</t>
        </is>
      </c>
      <c r="F656" s="4" t="inlineStr">
        <is>
          <t>https://physics.nd.edu/graduate/apply/</t>
        </is>
      </c>
      <c r="G656" s="4" t="inlineStr"/>
      <c r="H656" s="4" t="inlineStr">
        <is>
          <t>2026-10-21</t>
        </is>
      </c>
    </row>
    <row r="657">
      <c r="A657" s="4" t="inlineStr">
        <is>
          <t>University of Notre Dame</t>
        </is>
      </c>
      <c r="B657" s="4" t="inlineStr">
        <is>
          <t>TOEFL minimum</t>
        </is>
      </c>
      <c r="C657" s="4" t="inlineStr">
        <is>
          <t>80</t>
        </is>
      </c>
      <c r="D657" s="4" t="inlineStr">
        <is>
          <t>TOEFL iBT 80 overall with Speaking 23 (old scale) or 4.5 average, no section below 4.0 (new scale); IELTS 7.0; Duolingo 120; programs may require more</t>
        </is>
      </c>
      <c r="E657" s="4" t="inlineStr">
        <is>
          <t>TOEFL iBT pre-February 2026 scoring system | 80 minimum overall score | Minimum of 23 on the Speaking section</t>
        </is>
      </c>
      <c r="F657" s="4" t="inlineStr">
        <is>
          <t>https://graduateschool.nd.edu/admissions/international-students/</t>
        </is>
      </c>
      <c r="G657" s="4" t="inlineStr"/>
      <c r="H657" s="4" t="inlineStr">
        <is>
          <t>2026-10-21</t>
        </is>
      </c>
    </row>
    <row r="658">
      <c r="A658" s="4" t="inlineStr">
        <is>
          <t>University of Notre Dame</t>
        </is>
      </c>
      <c r="B658" s="4" t="inlineStr">
        <is>
          <t>English-test waiver (English-medium degree)</t>
        </is>
      </c>
      <c r="C658" s="4" t="inlineStr">
        <is>
          <t>Yes</t>
        </is>
      </c>
      <c r="D658" s="4" t="inlineStr">
        <is>
          <t>Waived for anyone with a bachelor's (or higher) degree, or at least two years of post-secondary study, at an English-medium institution</t>
        </is>
      </c>
      <c r="E658" s="4" t="inlineStr">
        <is>
          <t>The English proficiency exam is waived for | students who have earned a degree (bachelor’s or higher) or completed at least two years of post-secondary education at an institution where the medium of instruction is English.</t>
        </is>
      </c>
      <c r="F658" s="4" t="inlineStr">
        <is>
          <t>https://graduateschool.nd.edu/admissions/international-students/</t>
        </is>
      </c>
      <c r="G658" s="4" t="inlineStr"/>
      <c r="H658" s="4" t="inlineStr">
        <is>
          <t>2026-10-21</t>
        </is>
      </c>
    </row>
    <row r="659">
      <c r="A659" s="4" t="inlineStr">
        <is>
          <t>University of Notre Dame</t>
        </is>
      </c>
      <c r="B659" s="4" t="inlineStr">
        <is>
          <t>Supervisor before admission</t>
        </is>
      </c>
      <c r="C659" s="4" t="inlineStr">
        <is>
          <t>Not required</t>
        </is>
      </c>
      <c r="D659" s="4" t="inlineStr">
        <is>
          <t>Students are not admitted to a specific advisor, though funded advisors' recommendations weigh strongly; must state experiment vs theory preference</t>
        </is>
      </c>
      <c r="E659" s="4" t="inlineStr">
        <is>
          <t>Students are not admitted to work with a specific research advisor. However, the recommendations of funded research advisors are considered strongly by the admissions committee.</t>
        </is>
      </c>
      <c r="F659" s="4" t="inlineStr">
        <is>
          <t>https://physics.nd.edu/graduate/apply/</t>
        </is>
      </c>
      <c r="G659" s="4" t="inlineStr"/>
      <c r="H659" s="4" t="inlineStr">
        <is>
          <t>2026-10-21</t>
        </is>
      </c>
    </row>
    <row r="660">
      <c r="A660" s="4" t="inlineStr">
        <is>
          <t>University of Notre Dame</t>
        </is>
      </c>
      <c r="B660" s="4" t="inlineStr">
        <is>
          <t>PhD funding</t>
        </is>
      </c>
      <c r="C660" s="4" t="inlineStr">
        <is>
          <t>Guaranteed</t>
        </is>
      </c>
      <c r="D660" s="4" t="inlineStr">
        <is>
          <t>All admitted students receive full tuition support and a stipend (TA first, RA later)</t>
        </is>
      </c>
      <c r="E660" s="4" t="inlineStr">
        <is>
          <t>All admitted students receive full tuition support and a stipend.</t>
        </is>
      </c>
      <c r="F660" s="4" t="inlineStr">
        <is>
          <t>https://physics.nd.edu/graduate/</t>
        </is>
      </c>
      <c r="G660" s="4" t="inlineStr"/>
      <c r="H660" s="4" t="inlineStr">
        <is>
          <t>2026-10-21</t>
        </is>
      </c>
    </row>
    <row r="661">
      <c r="A661" s="4" t="inlineStr">
        <is>
          <t>University of Notre Dame</t>
        </is>
      </c>
      <c r="B661" s="4" t="inlineStr">
        <is>
          <t>Entry route</t>
        </is>
      </c>
      <c r="C661" s="4" t="inlineStr">
        <is>
          <t>Direct from bachelor's</t>
        </is>
      </c>
      <c r="D661" s="4" t="inlineStr">
        <is>
          <t>Graduate School requires a bachelor's degree or equivalent and GPA 3.0</t>
        </is>
      </c>
      <c r="E661" s="4" t="inlineStr">
        <is>
          <t>These requirements include a bachelor’s degree or its equivalent, as well as an undergraduate GPA of 3.0 or greater on a 4.0 scale.</t>
        </is>
      </c>
      <c r="F661" s="4" t="inlineStr">
        <is>
          <t>https://graduateschool.nd.edu/admissions/application-requirements/</t>
        </is>
      </c>
      <c r="G661" s="4" t="inlineStr"/>
      <c r="H661" s="4" t="inlineStr">
        <is>
          <t>2026-10-21</t>
        </is>
      </c>
    </row>
    <row r="662">
      <c r="A662" s="4" t="inlineStr">
        <is>
          <t>University of Ottawa (Ottawa-Carleton Institute for Physics)</t>
        </is>
      </c>
      <c r="B662" s="4" t="inlineStr">
        <is>
          <t>Deadline (2027 entry)</t>
        </is>
      </c>
      <c r="C662" s="4" t="inlineStr">
        <is>
          <t>Not stated</t>
        </is>
      </c>
      <c r="D662" s="4" t="inlineStr">
        <is>
          <t>Physics-specific deadline not shown on the catalogue page checked</t>
        </is>
      </c>
      <c r="E662" s="4" t="inlineStr">
        <is>
          <t>(no statement found)</t>
        </is>
      </c>
      <c r="F662" s="4" t="inlineStr">
        <is>
          <t>https://catalogue.uottawa.ca/en/graduate/doctorate-philosophy-physics/</t>
        </is>
      </c>
      <c r="G662" s="4" t="inlineStr"/>
      <c r="H662" s="4" t="inlineStr">
        <is>
          <t>2026-10-21</t>
        </is>
      </c>
    </row>
    <row r="663">
      <c r="A663" s="4" t="inlineStr">
        <is>
          <t>University of Ottawa (Ottawa-Carleton Institute for Physics)</t>
        </is>
      </c>
      <c r="B663" s="4" t="inlineStr">
        <is>
          <t>Application fee</t>
        </is>
      </c>
      <c r="C663" s="4" t="inlineStr">
        <is>
          <t>Not stated</t>
        </is>
      </c>
      <c r="D663" s="4" t="inlineStr">
        <is>
          <t>Not shown on the page checked</t>
        </is>
      </c>
      <c r="E663" s="4" t="inlineStr">
        <is>
          <t>(no statement found)</t>
        </is>
      </c>
      <c r="F663" s="4" t="inlineStr">
        <is>
          <t>https://catalogue.uottawa.ca/en/graduate/doctorate-philosophy-physics/</t>
        </is>
      </c>
      <c r="G663" s="4" t="inlineStr"/>
      <c r="H663" s="4" t="inlineStr">
        <is>
          <t>2026-10-21</t>
        </is>
      </c>
    </row>
    <row r="664">
      <c r="A664" s="4" t="inlineStr">
        <is>
          <t>University of Ottawa (Ottawa-Carleton Institute for Physics)</t>
        </is>
      </c>
      <c r="B664" s="4" t="inlineStr">
        <is>
          <t>Intl fee waiver</t>
        </is>
      </c>
      <c r="C664" s="4" t="inlineStr">
        <is>
          <t>Not stated</t>
        </is>
      </c>
      <c r="D664" s="4" t="inlineStr">
        <is>
          <t>Not stated on the page checked</t>
        </is>
      </c>
      <c r="E664" s="4" t="inlineStr">
        <is>
          <t>(no statement found)</t>
        </is>
      </c>
      <c r="F664" s="4" t="inlineStr">
        <is>
          <t>https://catalogue.uottawa.ca/en/graduate/doctorate-philosophy-physics/</t>
        </is>
      </c>
      <c r="G664" s="4" t="inlineStr"/>
      <c r="H664" s="4" t="inlineStr">
        <is>
          <t>2026-10-21</t>
        </is>
      </c>
    </row>
    <row r="665">
      <c r="A665" s="4" t="inlineStr">
        <is>
          <t>University of Ottawa (Ottawa-Carleton Institute for Physics)</t>
        </is>
      </c>
      <c r="B665" s="4" t="inlineStr">
        <is>
          <t>GRE General</t>
        </is>
      </c>
      <c r="C665" s="4" t="inlineStr">
        <is>
          <t>Not stated</t>
        </is>
      </c>
      <c r="D665" s="4" t="inlineStr">
        <is>
          <t>Not stated on the page checked</t>
        </is>
      </c>
      <c r="E665" s="4" t="inlineStr">
        <is>
          <t>(no statement found)</t>
        </is>
      </c>
      <c r="F665" s="4" t="inlineStr">
        <is>
          <t>https://catalogue.uottawa.ca/en/graduate/doctorate-philosophy-physics/</t>
        </is>
      </c>
      <c r="G665" s="4" t="inlineStr"/>
      <c r="H665" s="4" t="inlineStr">
        <is>
          <t>2026-10-21</t>
        </is>
      </c>
    </row>
    <row r="666">
      <c r="A666" s="4" t="inlineStr">
        <is>
          <t>University of Ottawa (Ottawa-Carleton Institute for Physics)</t>
        </is>
      </c>
      <c r="B666" s="4" t="inlineStr">
        <is>
          <t>Physics GRE</t>
        </is>
      </c>
      <c r="C666" s="4" t="inlineStr">
        <is>
          <t>Not stated</t>
        </is>
      </c>
      <c r="D666" s="4" t="inlineStr">
        <is>
          <t>Not stated on the page checked</t>
        </is>
      </c>
      <c r="E666" s="4" t="inlineStr">
        <is>
          <t>(no statement found)</t>
        </is>
      </c>
      <c r="F666" s="4" t="inlineStr">
        <is>
          <t>https://catalogue.uottawa.ca/en/graduate/doctorate-philosophy-physics/</t>
        </is>
      </c>
      <c r="G666" s="4" t="inlineStr"/>
      <c r="H666" s="4" t="inlineStr">
        <is>
          <t>2026-10-21</t>
        </is>
      </c>
    </row>
    <row r="667">
      <c r="A667" s="4" t="inlineStr">
        <is>
          <t>University of Ottawa (Ottawa-Carleton Institute for Physics)</t>
        </is>
      </c>
      <c r="B667" s="4" t="inlineStr">
        <is>
          <t>TOEFL minimum</t>
        </is>
      </c>
      <c r="C667" s="4" t="inlineStr">
        <is>
          <t>Not stated</t>
        </is>
      </c>
      <c r="D667" s="4" t="inlineStr">
        <is>
          <t>Proof of proficiency required if first language is neither French nor English; minimum not shown</t>
        </is>
      </c>
      <c r="E667" s="4" t="inlineStr">
        <is>
          <t>Applicants whose first language is neither French nor English must provide proof of proficiency in the language of instruction.</t>
        </is>
      </c>
      <c r="F667" s="4" t="inlineStr">
        <is>
          <t>https://catalogue.uottawa.ca/en/graduate/doctorate-philosophy-physics/</t>
        </is>
      </c>
      <c r="G667" s="4" t="inlineStr"/>
      <c r="H667" s="4" t="inlineStr">
        <is>
          <t>2026-10-21</t>
        </is>
      </c>
    </row>
    <row r="668">
      <c r="A668" s="4" t="inlineStr">
        <is>
          <t>University of Ottawa (Ottawa-Carleton Institute for Physics)</t>
        </is>
      </c>
      <c r="B668" s="4" t="inlineStr">
        <is>
          <t>English-test waiver (English-medium degree)</t>
        </is>
      </c>
      <c r="C668" s="4" t="inlineStr">
        <is>
          <t>Not stated</t>
        </is>
      </c>
      <c r="D668" s="4" t="inlineStr">
        <is>
          <t>Exemption rules not shown on the page checked</t>
        </is>
      </c>
      <c r="E668" s="4" t="inlineStr">
        <is>
          <t>(no statement found)</t>
        </is>
      </c>
      <c r="F668" s="4" t="inlineStr">
        <is>
          <t>https://catalogue.uottawa.ca/en/graduate/doctorate-philosophy-physics/</t>
        </is>
      </c>
      <c r="G668" s="4" t="inlineStr"/>
      <c r="H668" s="4" t="inlineStr">
        <is>
          <t>2026-10-21</t>
        </is>
      </c>
    </row>
    <row r="669">
      <c r="A669" s="4" t="inlineStr">
        <is>
          <t>University of Ottawa (Ottawa-Carleton Institute for Physics)</t>
        </is>
      </c>
      <c r="B669" s="4" t="inlineStr">
        <is>
          <t>Supervisor before admission</t>
        </is>
      </c>
      <c r="C669" s="4" t="inlineStr">
        <is>
          <t>Required</t>
        </is>
      </c>
      <c r="D669" s="4" t="inlineStr">
        <is>
          <t>Supervisor's name required AT APPLICATION; you must be accepted by a thesis supervisor to register</t>
        </is>
      </c>
      <c r="E669" s="4" t="inlineStr">
        <is>
          <t>Identify at least one professor who is willing to supervise your research and thesis. We recommend that you contact potential thesis supervisors as soon as possible. To register, you need to have been accepted by a thesis supervisor. The supervisor’s name is required at the time of application.</t>
        </is>
      </c>
      <c r="F669" s="4" t="inlineStr">
        <is>
          <t>https://catalogue.uottawa.ca/en/graduate/doctorate-philosophy-physics/</t>
        </is>
      </c>
      <c r="G669" s="4" t="inlineStr"/>
      <c r="H669" s="4" t="inlineStr">
        <is>
          <t>2026-10-21</t>
        </is>
      </c>
    </row>
    <row r="670">
      <c r="A670" s="4" t="inlineStr">
        <is>
          <t>University of Ottawa (Ottawa-Carleton Institute for Physics)</t>
        </is>
      </c>
      <c r="B670" s="4" t="inlineStr">
        <is>
          <t>PhD funding</t>
        </is>
      </c>
      <c r="C670" s="4" t="inlineStr">
        <is>
          <t>Not stated</t>
        </is>
      </c>
      <c r="D670" s="4" t="inlineStr">
        <is>
          <t>International students must show financial support (supervisor stipend plus awards/trust funds)</t>
        </is>
      </c>
      <c r="E670" s="4" t="inlineStr">
        <is>
          <t>Note: International students must provide proof of financial support: i.e., a stipend provided by a supervisor as well as a combination of awards and/or trust funds.</t>
        </is>
      </c>
      <c r="F670" s="4" t="inlineStr">
        <is>
          <t>https://catalogue.uottawa.ca/en/graduate/doctorate-philosophy-physics/</t>
        </is>
      </c>
      <c r="G670" s="4" t="inlineStr"/>
      <c r="H670" s="4" t="inlineStr">
        <is>
          <t>2026-10-21</t>
        </is>
      </c>
    </row>
    <row r="671">
      <c r="A671" s="4" t="inlineStr">
        <is>
          <t>University of Ottawa (Ottawa-Carleton Institute for Physics)</t>
        </is>
      </c>
      <c r="B671" s="4" t="inlineStr">
        <is>
          <t>Entry route</t>
        </is>
      </c>
      <c r="C671" s="4" t="inlineStr">
        <is>
          <t>Master's usually required</t>
        </is>
      </c>
      <c r="D671" s="4" t="inlineStr">
        <is>
          <t>Master's in physics (or equivalent) with 75% (B+); MSc fast-track to PhD possible</t>
        </is>
      </c>
      <c r="E671" s="4" t="inlineStr">
        <is>
          <t>Be the holder of a master’s degree in physics (or equivalent) with a minimum average of 75% (B+).</t>
        </is>
      </c>
      <c r="F671" s="4" t="inlineStr">
        <is>
          <t>https://catalogue.uottawa.ca/en/graduate/doctorate-philosophy-physics/</t>
        </is>
      </c>
      <c r="G671" s="4" t="inlineStr"/>
      <c r="H671" s="4" t="inlineStr">
        <is>
          <t>2026-10-21</t>
        </is>
      </c>
    </row>
    <row r="672">
      <c r="A672" s="4" t="inlineStr">
        <is>
          <t>University of Padova (Università degli Studi di Padova)</t>
        </is>
      </c>
      <c r="B672" s="4" t="inlineStr">
        <is>
          <t>Deadline (2027 entry)</t>
        </is>
      </c>
      <c r="C672" s="4" t="inlineStr">
        <is>
          <t>Not stated</t>
        </is>
      </c>
      <c r="D672" s="4" t="inlineStr">
        <is>
          <t>Annual call (bando). The 2026/27 (42nd cycle) call closed May 20, 2026, 1 pm (2025/26: May 13, 2025); a smaller summer call for extra places closed Aug 26, 2026. The 2027/28 (43rd cycle) call is not yet published.</t>
        </is>
      </c>
      <c r="E672" s="4" t="inlineStr">
        <is>
          <t>Application deadline: May 20, 2026, 1 p.m.  ||  passing an admission examination, which is announced annually (https://www.unipd.it/en/dottorato)  ||  Deadline: May 13, 2025, 1 p.m. (https://www.unipd.it/en/dottorato/dottorati-41-ciclo)</t>
        </is>
      </c>
      <c r="F672" s="4" t="inlineStr">
        <is>
          <t>https://www.unipd.it/en/dottorato/dottorati-42-ciclo</t>
        </is>
      </c>
      <c r="G672" s="4" t="inlineStr"/>
      <c r="H672" s="4" t="inlineStr">
        <is>
          <t>2026-10-21</t>
        </is>
      </c>
    </row>
    <row r="673">
      <c r="A673" s="4" t="inlineStr">
        <is>
          <t>University of Padova (Università degli Studi di Padova)</t>
        </is>
      </c>
      <c r="B673" s="4" t="inlineStr">
        <is>
          <t>Application fee</t>
        </is>
      </c>
      <c r="C673" s="4" t="inlineStr">
        <is>
          <t>Not stated</t>
        </is>
      </c>
      <c r="D673" s="4" t="inlineStr">
        <is>
          <t>Not stated on the HTML pages checked (details are in the PDF call)</t>
        </is>
      </c>
      <c r="E673" s="4" t="inlineStr">
        <is>
          <t>(no statement found)</t>
        </is>
      </c>
      <c r="F673" s="4" t="inlineStr">
        <is>
          <t>https://www.unipd.it/en/dottorato/dottorati-42-ciclo</t>
        </is>
      </c>
      <c r="G673" s="4" t="inlineStr"/>
      <c r="H673" s="4" t="inlineStr">
        <is>
          <t>2026-10-21</t>
        </is>
      </c>
    </row>
    <row r="674">
      <c r="A674" s="4" t="inlineStr">
        <is>
          <t>University of Padova (Università degli Studi di Padova)</t>
        </is>
      </c>
      <c r="B674" s="4" t="inlineStr">
        <is>
          <t>Intl fee waiver</t>
        </is>
      </c>
      <c r="C674" s="4" t="inlineStr">
        <is>
          <t>Not stated</t>
        </is>
      </c>
      <c r="D674" s="4" t="inlineStr">
        <is>
          <t>Not stated on the page checked</t>
        </is>
      </c>
      <c r="E674" s="4" t="inlineStr">
        <is>
          <t>(no statement found)</t>
        </is>
      </c>
      <c r="F674" s="4" t="inlineStr">
        <is>
          <t>https://www.unipd.it/en/dottorato/dottorati-42-ciclo</t>
        </is>
      </c>
      <c r="G674" s="4" t="inlineStr"/>
      <c r="H674" s="4" t="inlineStr">
        <is>
          <t>2026-10-21</t>
        </is>
      </c>
    </row>
    <row r="675">
      <c r="A675" s="4" t="inlineStr">
        <is>
          <t>University of Padova (Università degli Studi di Padova)</t>
        </is>
      </c>
      <c r="B675" s="4" t="inlineStr">
        <is>
          <t>GRE General</t>
        </is>
      </c>
      <c r="C675" s="4" t="inlineStr">
        <is>
          <t>Not stated</t>
        </is>
      </c>
      <c r="D675" s="4" t="inlineStr">
        <is>
          <t>Not stated on the page checked</t>
        </is>
      </c>
      <c r="E675" s="4" t="inlineStr">
        <is>
          <t>(no statement found)</t>
        </is>
      </c>
      <c r="F675" s="4" t="inlineStr">
        <is>
          <t>https://www.unipd.it/en/dottorato/dottorati-42-ciclo</t>
        </is>
      </c>
      <c r="G675" s="4" t="inlineStr"/>
      <c r="H675" s="4" t="inlineStr">
        <is>
          <t>2026-10-21</t>
        </is>
      </c>
    </row>
    <row r="676">
      <c r="A676" s="4" t="inlineStr">
        <is>
          <t>University of Padova (Università degli Studi di Padova)</t>
        </is>
      </c>
      <c r="B676" s="4" t="inlineStr">
        <is>
          <t>Physics GRE</t>
        </is>
      </c>
      <c r="C676" s="4" t="inlineStr">
        <is>
          <t>Not stated</t>
        </is>
      </c>
      <c r="D676" s="4" t="inlineStr">
        <is>
          <t>Not stated on the page checked</t>
        </is>
      </c>
      <c r="E676" s="4" t="inlineStr">
        <is>
          <t>(no statement found)</t>
        </is>
      </c>
      <c r="F676" s="4" t="inlineStr">
        <is>
          <t>https://www.unipd.it/en/dottorato/dottorati-42-ciclo</t>
        </is>
      </c>
      <c r="G676" s="4" t="inlineStr"/>
      <c r="H676" s="4" t="inlineStr">
        <is>
          <t>2026-10-21</t>
        </is>
      </c>
    </row>
    <row r="677">
      <c r="A677" s="4" t="inlineStr">
        <is>
          <t>University of Padova (Università degli Studi di Padova)</t>
        </is>
      </c>
      <c r="B677" s="4" t="inlineStr">
        <is>
          <t>TOEFL minimum</t>
        </is>
      </c>
      <c r="C677" s="4" t="inlineStr">
        <is>
          <t>Not stated</t>
        </is>
      </c>
      <c r="D677" s="4" t="inlineStr">
        <is>
          <t>Not stated on the page checked</t>
        </is>
      </c>
      <c r="E677" s="4" t="inlineStr">
        <is>
          <t>(no statement found)</t>
        </is>
      </c>
      <c r="F677" s="4" t="inlineStr">
        <is>
          <t>https://www.unipd.it/en/dottorato/dottorati-42-ciclo</t>
        </is>
      </c>
      <c r="G677" s="4" t="inlineStr"/>
      <c r="H677" s="4" t="inlineStr">
        <is>
          <t>2026-10-21</t>
        </is>
      </c>
    </row>
    <row r="678">
      <c r="A678" s="4" t="inlineStr">
        <is>
          <t>University of Padova (Università degli Studi di Padova)</t>
        </is>
      </c>
      <c r="B678" s="4" t="inlineStr">
        <is>
          <t>English-test waiver (English-medium degree)</t>
        </is>
      </c>
      <c r="C678" s="4" t="inlineStr">
        <is>
          <t>Not stated</t>
        </is>
      </c>
      <c r="D678" s="4" t="inlineStr">
        <is>
          <t>Not stated on the page checked</t>
        </is>
      </c>
      <c r="E678" s="4" t="inlineStr">
        <is>
          <t>(no statement found)</t>
        </is>
      </c>
      <c r="F678" s="4" t="inlineStr">
        <is>
          <t>https://www.unipd.it/en/dottorato/dottorati-42-ciclo</t>
        </is>
      </c>
      <c r="G678" s="4" t="inlineStr"/>
      <c r="H678" s="4" t="inlineStr">
        <is>
          <t>2026-10-21</t>
        </is>
      </c>
    </row>
    <row r="679">
      <c r="A679" s="4" t="inlineStr">
        <is>
          <t>University of Padova (Università degli Studi di Padova)</t>
        </is>
      </c>
      <c r="B679" s="4" t="inlineStr">
        <is>
          <t>Supervisor before admission</t>
        </is>
      </c>
      <c r="C679" s="4" t="inlineStr">
        <is>
          <t>Not stated</t>
        </is>
      </c>
      <c r="D679" s="4" t="inlineStr">
        <is>
          <t>Admission is by public competition (admission exam set out in each course information sheet); no prior supervisor agreement mentioned on the pages checked</t>
        </is>
      </c>
      <c r="E679" s="4" t="inlineStr">
        <is>
          <t>For each course there is also an information sheet containing the specific information of that syllabus: the places and scholarships made available, the documents to be attached to the application, the tests in which the selection procedure is divided</t>
        </is>
      </c>
      <c r="F679" s="4" t="inlineStr">
        <is>
          <t>https://www.unipd.it/en/dottorato/dottorati-42-ciclo</t>
        </is>
      </c>
      <c r="G679" s="4" t="inlineStr"/>
      <c r="H679" s="4" t="inlineStr">
        <is>
          <t>2026-10-21</t>
        </is>
      </c>
    </row>
    <row r="680">
      <c r="A680" s="4" t="inlineStr">
        <is>
          <t>University of Padova (Università degli Studi di Padova)</t>
        </is>
      </c>
      <c r="B680" s="4" t="inlineStr">
        <is>
          <t>PhD funding</t>
        </is>
      </c>
      <c r="C680" s="4" t="inlineStr">
        <is>
          <t>Competitive</t>
        </is>
      </c>
      <c r="D680" s="4" t="inlineStr">
        <is>
          <t>Each course lists its number of places and scholarships; some places are awarded without a scholarship. Physics figures are only in the PDF information sheet.</t>
        </is>
      </c>
      <c r="E680" s="4" t="inlineStr">
        <is>
          <t>Should any funded places become available due to withdrawals, the following candidates may apply for such vacant places: applicants awarded a place without a scholarship  ||  the places and scholarships made available (https://www.unipd.it/en/dottorato/dottorati-42-ciclo)</t>
        </is>
      </c>
      <c r="F680" s="4" t="inlineStr">
        <is>
          <t>https://www.unipd.it/en/dottorato/dottorati-42-ciclo</t>
        </is>
      </c>
      <c r="G680" s="4" t="inlineStr"/>
      <c r="H680" s="4" t="inlineStr">
        <is>
          <t>2026-10-21</t>
        </is>
      </c>
    </row>
    <row r="681">
      <c r="A681" s="4" t="inlineStr">
        <is>
          <t>University of Padova (Università degli Studi di Padova)</t>
        </is>
      </c>
      <c r="B681" s="4" t="inlineStr">
        <is>
          <t>Entry route</t>
        </is>
      </c>
      <c r="C681" s="4" t="inlineStr">
        <is>
          <t>Master's usually required</t>
        </is>
      </c>
      <c r="D681" s="4" t="inlineStr">
        <is>
          <t>Master's degree required, plus passing the annual admission exam</t>
        </is>
      </c>
      <c r="E681" s="4" t="inlineStr">
        <is>
          <t>You can access the PhD programme, which lasts 3 or 4 years, only after obtaining a master's degree and passing an admission examination, which is announced annually.</t>
        </is>
      </c>
      <c r="F681" s="4" t="inlineStr">
        <is>
          <t>https://www.unipd.it/en/dottorato</t>
        </is>
      </c>
      <c r="G681" s="4" t="inlineStr"/>
      <c r="H681" s="4" t="inlineStr">
        <is>
          <t>2026-10-21</t>
        </is>
      </c>
    </row>
    <row r="682">
      <c r="A682" s="4" t="inlineStr">
        <is>
          <t>University of Pittsburgh</t>
        </is>
      </c>
      <c r="B682" s="4" t="inlineStr">
        <is>
          <t>Deadline (2027 entry)</t>
        </is>
      </c>
      <c r="C682" s="4" t="inlineStr">
        <is>
          <t>2026-12-15</t>
        </is>
      </c>
      <c r="D682" s="4" t="inlineStr">
        <is>
          <t>December 15, 2026 for Fall 2027 (application opens September 8, 2026); Fall entry only</t>
        </is>
      </c>
      <c r="E682" s="4" t="inlineStr">
        <is>
          <t>FALL 2027 Application Deadline on December 15, 2026</t>
        </is>
      </c>
      <c r="F682" s="4" t="inlineStr">
        <is>
          <t>https://www.physicsandastronomy.pitt.edu/graduate/how-apply</t>
        </is>
      </c>
      <c r="G682" s="4" t="inlineStr"/>
      <c r="H682" s="4" t="inlineStr">
        <is>
          <t>2026-10-21</t>
        </is>
      </c>
    </row>
    <row r="683">
      <c r="A683" s="4" t="inlineStr">
        <is>
          <t>University of Pittsburgh</t>
        </is>
      </c>
      <c r="B683" s="4" t="inlineStr">
        <is>
          <t>Application fee</t>
        </is>
      </c>
      <c r="C683" s="4" t="inlineStr">
        <is>
          <t>75 USD</t>
        </is>
      </c>
      <c r="D683" s="4" t="inlineStr">
        <is>
          <t>USD 75 (waiver code possible via Dietrich School fee waiver survey)</t>
        </is>
      </c>
      <c r="E683" s="4" t="inlineStr">
        <is>
          <t>Application fee of $75.</t>
        </is>
      </c>
      <c r="F683" s="4" t="inlineStr">
        <is>
          <t>https://www.physicsandastronomy.pitt.edu/graduate/how-apply</t>
        </is>
      </c>
      <c r="G683" s="4" t="inlineStr"/>
      <c r="H683" s="4" t="inlineStr">
        <is>
          <t>2026-10-21</t>
        </is>
      </c>
    </row>
    <row r="684">
      <c r="A684" s="4" t="inlineStr">
        <is>
          <t>University of Pittsburgh</t>
        </is>
      </c>
      <c r="B684" s="4" t="inlineStr">
        <is>
          <t>Intl fee waiver</t>
        </is>
      </c>
      <c r="C684" s="4" t="inlineStr">
        <is>
          <t>Available</t>
        </is>
      </c>
      <c r="D684" s="4" t="inlineStr">
        <is>
          <t>Dietrich School fee waivers via survey, case-by-case; all applicants encouraged to apply (international section says "All of the above plus"); requests submitted by Dec 20 still get full consideration</t>
        </is>
      </c>
      <c r="E684" s="4" t="inlineStr">
        <is>
          <t>the Kenneth P. Dietrich Graduate School of Arts and Sciences offers application fee waivers. | We encourage all of our applicants to submit the survey. Fee waivers are approved on a case-by-case basis | International Applicants | All of the above plus:</t>
        </is>
      </c>
      <c r="F684" s="4" t="inlineStr">
        <is>
          <t>https://www.physicsandastronomy.pitt.edu/graduate/how-apply</t>
        </is>
      </c>
      <c r="G684" s="4" t="inlineStr"/>
      <c r="H684" s="4" t="inlineStr">
        <is>
          <t>2026-10-21</t>
        </is>
      </c>
    </row>
    <row r="685">
      <c r="A685" s="4" t="inlineStr">
        <is>
          <t>University of Pittsburgh</t>
        </is>
      </c>
      <c r="B685" s="4" t="inlineStr">
        <is>
          <t>GRE General</t>
        </is>
      </c>
      <c r="C685" s="4" t="inlineStr">
        <is>
          <t>Optional</t>
        </is>
      </c>
      <c r="D685" s="4" t="inlineStr">
        <is>
          <t>General GRE optional; absence will not adversely affect review</t>
        </is>
      </c>
      <c r="E685" s="4" t="inlineStr">
        <is>
          <t>General and Subject Graduate Record Examination (GRE) scores are optional. If you believe that any of these scores will strengthen your application, you are invited to provide them. Conversely, the absence of any of these scores will not adversely impact your materials for the review process.</t>
        </is>
      </c>
      <c r="F685" s="4" t="inlineStr">
        <is>
          <t>https://www.physicsandastronomy.pitt.edu/graduate/how-apply</t>
        </is>
      </c>
      <c r="G685" s="4" t="inlineStr"/>
      <c r="H685" s="4" t="inlineStr">
        <is>
          <t>2026-10-21</t>
        </is>
      </c>
    </row>
    <row r="686">
      <c r="A686" s="4" t="inlineStr">
        <is>
          <t>University of Pittsburgh</t>
        </is>
      </c>
      <c r="B686" s="4" t="inlineStr">
        <is>
          <t>Physics GRE</t>
        </is>
      </c>
      <c r="C686" s="4" t="inlineStr">
        <is>
          <t>Optional</t>
        </is>
      </c>
      <c r="D686" s="4" t="inlineStr">
        <is>
          <t>Physics (subject) GRE optional; absence will not adversely affect review</t>
        </is>
      </c>
      <c r="E686" s="4" t="inlineStr">
        <is>
          <t>General and Subject Graduate Record Examination (GRE) scores are optional. If you believe that any of these scores will strengthen your application, you are invited to provide them. Conversely, the absence of any of these scores will not adversely impact your materials for the review process.</t>
        </is>
      </c>
      <c r="F686" s="4" t="inlineStr">
        <is>
          <t>https://www.physicsandastronomy.pitt.edu/graduate/how-apply</t>
        </is>
      </c>
      <c r="G686" s="4" t="inlineStr"/>
      <c r="H686" s="4" t="inlineStr">
        <is>
          <t>2026-10-21</t>
        </is>
      </c>
    </row>
    <row r="687">
      <c r="A687" s="4" t="inlineStr">
        <is>
          <t>University of Pittsburgh</t>
        </is>
      </c>
      <c r="B687" s="4" t="inlineStr">
        <is>
          <t>TOEFL minimum</t>
        </is>
      </c>
      <c r="C687" s="4" t="inlineStr">
        <is>
          <t>90</t>
        </is>
      </c>
      <c r="D687" s="4" t="inlineStr">
        <is>
          <t>TOEFL 90 with at least 22 in each section (new scale: 4.5 overall, 4.5 S/R/W, 5.0 L); IELTS 7.0 (6.5 each); Duolingo 120</t>
        </is>
      </c>
      <c r="E687" s="4" t="inlineStr">
        <is>
          <t>The minimum TOEFL score is 90 (with at least a score of 22 in all of the four sections of speaking, listening, reading and writing.</t>
        </is>
      </c>
      <c r="F687" s="4" t="inlineStr">
        <is>
          <t>https://www.physicsandastronomy.pitt.edu/graduate/how-apply</t>
        </is>
      </c>
      <c r="G687" s="4" t="inlineStr"/>
      <c r="H687" s="4" t="inlineStr">
        <is>
          <t>2026-10-21</t>
        </is>
      </c>
    </row>
    <row r="688">
      <c r="A688" s="4" t="inlineStr">
        <is>
          <t>University of Pittsburgh</t>
        </is>
      </c>
      <c r="B688" s="4" t="inlineStr">
        <is>
          <t>English-test waiver (English-medium degree)</t>
        </is>
      </c>
      <c r="C688" s="4" t="inlineStr">
        <is>
          <t>Not stated</t>
        </is>
      </c>
      <c r="D688" s="4" t="inlineStr">
        <is>
          <t>Exceptions case-by-case for a U.S. bachelor's or nationals of countries on a PDF list (not checked); no rule for English-medium Indian degrees on the pages checked</t>
        </is>
      </c>
      <c r="E688" s="4" t="inlineStr">
        <is>
          <t>English test exceptions have been made on a case-by-case basis for applicants with a bachelor's (or higher) degree from a U.S. institution or nationals from countries indicated on this LIST.</t>
        </is>
      </c>
      <c r="F688" s="4" t="inlineStr">
        <is>
          <t>https://www.physicsandastronomy.pitt.edu/graduate/how-apply</t>
        </is>
      </c>
      <c r="G688" s="4" t="inlineStr"/>
      <c r="H688" s="4" t="inlineStr">
        <is>
          <t>2026-10-21</t>
        </is>
      </c>
    </row>
    <row r="689">
      <c r="A689" s="4" t="inlineStr">
        <is>
          <t>University of Pittsburgh</t>
        </is>
      </c>
      <c r="B689" s="4" t="inlineStr">
        <is>
          <t>Supervisor before admission</t>
        </is>
      </c>
      <c r="C689" s="4" t="inlineStr">
        <is>
          <t>Not required</t>
        </is>
      </c>
      <c r="D689" s="4" t="inlineStr">
        <is>
          <t>No need to identify a faculty member, though mentioning interested faculty helps</t>
        </is>
      </c>
      <c r="E689" s="4" t="inlineStr">
        <is>
          <t>Do I need to identify a faculty member that I am interested in working with? | No, but it is helpful.</t>
        </is>
      </c>
      <c r="F689" s="4" t="inlineStr">
        <is>
          <t>https://www.physicsandastronomy.pitt.edu/graduate/graduate-applicants-faq</t>
        </is>
      </c>
      <c r="G689" s="4" t="inlineStr"/>
      <c r="H689" s="4" t="inlineStr">
        <is>
          <t>2026-10-21</t>
        </is>
      </c>
    </row>
    <row r="690">
      <c r="A690" s="4" t="inlineStr">
        <is>
          <t>University of Pittsburgh</t>
        </is>
      </c>
      <c r="B690" s="4" t="inlineStr">
        <is>
          <t>PhD funding</t>
        </is>
      </c>
      <c r="C690" s="4" t="inlineStr">
        <is>
          <t>Guaranteed</t>
        </is>
      </c>
      <c r="D690" s="4" t="inlineStr">
        <is>
          <t>PhD students in good standing guaranteed 5 years of support (TA, research, etc.); MS students self-funded</t>
        </is>
      </c>
      <c r="E690" s="4" t="inlineStr">
        <is>
          <t>students, maintaining satisfactoral progress, in the Ph.D. program are guaranteed 5 years of support through teaching assistantship, research, etc.</t>
        </is>
      </c>
      <c r="F690" s="4" t="inlineStr">
        <is>
          <t>https://www.physicsandastronomy.pitt.edu/graduate/graduate-applicants-faq</t>
        </is>
      </c>
      <c r="G690" s="4" t="inlineStr"/>
      <c r="H690" s="4" t="inlineStr">
        <is>
          <t>2026-10-21</t>
        </is>
      </c>
    </row>
    <row r="691">
      <c r="A691" s="4" t="inlineStr">
        <is>
          <t>University of Pittsburgh</t>
        </is>
      </c>
      <c r="B691" s="4" t="inlineStr">
        <is>
          <t>Entry route</t>
        </is>
      </c>
      <c r="C691" s="4" t="inlineStr">
        <is>
          <t>Direct from bachelor's</t>
        </is>
      </c>
      <c r="D691" s="4" t="inlineStr">
        <is>
          <t>U.S.-equivalent bachelor's required; a 3-year bachelor's alone is not enough (3-year bachelor's plus 2-year master's counts as equivalent)</t>
        </is>
      </c>
      <c r="E691" s="4" t="inlineStr">
        <is>
          <t>Will my 3 years Bachelor's degree be considered for admission? | You would need a 3-year Bachelor’s Degree and a 2-year Master’s Degree for the equivalent of a U.S. Bachelor’s. A 3-year Bachelor’s degree alone would not meet our requirements for admission.</t>
        </is>
      </c>
      <c r="F691" s="4" t="inlineStr">
        <is>
          <t>https://www.physicsandastronomy.pitt.edu/graduate/graduate-applicants-faq</t>
        </is>
      </c>
      <c r="G691" s="4" t="inlineStr"/>
      <c r="H691" s="4" t="inlineStr">
        <is>
          <t>2026-10-21</t>
        </is>
      </c>
    </row>
    <row r="692">
      <c r="A692" s="4" t="inlineStr">
        <is>
          <t>University of Saskatchewan</t>
        </is>
      </c>
      <c r="B692" s="4" t="inlineStr">
        <is>
          <t>Deadline (2027 entry)</t>
        </is>
      </c>
      <c r="C692" s="4" t="inlineStr">
        <is>
          <t>Rolling</t>
        </is>
      </c>
      <c r="D692" s="4" t="inlineStr">
        <is>
          <t>No fixed deadline; applications accepted throughout the year</t>
        </is>
      </c>
      <c r="E692" s="4" t="inlineStr">
        <is>
          <t>Applications are accepted throughout the year.  ||  There is no deadline for applications. (https://artsandscience.usask.ca/physics/students/graduates/index.php)</t>
        </is>
      </c>
      <c r="F692" s="4" t="inlineStr">
        <is>
          <t>https://grad.usask.ca/programs/physics-engineering-physics.php</t>
        </is>
      </c>
      <c r="G692" s="4" t="inlineStr"/>
      <c r="H692" s="4" t="inlineStr">
        <is>
          <t>2026-10-21</t>
        </is>
      </c>
    </row>
    <row r="693">
      <c r="A693" s="4" t="inlineStr">
        <is>
          <t>University of Saskatchewan</t>
        </is>
      </c>
      <c r="B693" s="4" t="inlineStr">
        <is>
          <t>Application fee</t>
        </is>
      </c>
      <c r="C693" s="4" t="inlineStr">
        <is>
          <t>145 CAD</t>
        </is>
      </c>
      <c r="D693" s="4" t="inlineStr">
        <is>
          <t>International applicants CAD 145 (domestic CAD 125), non-refundable</t>
        </is>
      </c>
      <c r="E693" s="4" t="inlineStr">
        <is>
          <t>At the end of the application, you will need to pay a non-refundable application fee: $125 for domestic students and $145 for international students.</t>
        </is>
      </c>
      <c r="F693" s="4" t="inlineStr">
        <is>
          <t>https://grad.usask.ca/programs/physics-engineering-physics.php</t>
        </is>
      </c>
      <c r="G693" s="4" t="inlineStr"/>
      <c r="H693" s="4" t="inlineStr">
        <is>
          <t>2026-10-21</t>
        </is>
      </c>
    </row>
    <row r="694">
      <c r="A694" s="4" t="inlineStr">
        <is>
          <t>University of Saskatchewan</t>
        </is>
      </c>
      <c r="B694" s="4" t="inlineStr">
        <is>
          <t>Intl fee waiver</t>
        </is>
      </c>
      <c r="C694" s="4" t="inlineStr">
        <is>
          <t>Not stated</t>
        </is>
      </c>
      <c r="D694" s="4" t="inlineStr">
        <is>
          <t>Not stated on the page checked</t>
        </is>
      </c>
      <c r="E694" s="4" t="inlineStr">
        <is>
          <t>(no statement found)</t>
        </is>
      </c>
      <c r="F694" s="4" t="inlineStr">
        <is>
          <t>https://grad.usask.ca/admissions/how-to-apply.php</t>
        </is>
      </c>
      <c r="G694" s="4" t="inlineStr"/>
      <c r="H694" s="4" t="inlineStr">
        <is>
          <t>2026-10-21</t>
        </is>
      </c>
    </row>
    <row r="695">
      <c r="A695" s="4" t="inlineStr">
        <is>
          <t>University of Saskatchewan</t>
        </is>
      </c>
      <c r="B695" s="4" t="inlineStr">
        <is>
          <t>GRE General</t>
        </is>
      </c>
      <c r="C695" s="4" t="inlineStr">
        <is>
          <t>Not stated</t>
        </is>
      </c>
      <c r="D695" s="4" t="inlineStr">
        <is>
          <t>Not stated on the page checked</t>
        </is>
      </c>
      <c r="E695" s="4" t="inlineStr">
        <is>
          <t>(no statement found)</t>
        </is>
      </c>
      <c r="F695" s="4" t="inlineStr">
        <is>
          <t>https://grad.usask.ca/programs/physics-engineering-physics.php</t>
        </is>
      </c>
      <c r="G695" s="4" t="inlineStr"/>
      <c r="H695" s="4" t="inlineStr">
        <is>
          <t>2026-10-21</t>
        </is>
      </c>
    </row>
    <row r="696">
      <c r="A696" s="4" t="inlineStr">
        <is>
          <t>University of Saskatchewan</t>
        </is>
      </c>
      <c r="B696" s="4" t="inlineStr">
        <is>
          <t>Physics GRE</t>
        </is>
      </c>
      <c r="C696" s="4" t="inlineStr">
        <is>
          <t>Not stated</t>
        </is>
      </c>
      <c r="D696" s="4" t="inlineStr">
        <is>
          <t>Not stated on the page checked</t>
        </is>
      </c>
      <c r="E696" s="4" t="inlineStr">
        <is>
          <t>(no statement found)</t>
        </is>
      </c>
      <c r="F696" s="4" t="inlineStr">
        <is>
          <t>https://grad.usask.ca/programs/physics-engineering-physics.php</t>
        </is>
      </c>
      <c r="G696" s="4" t="inlineStr"/>
      <c r="H696" s="4" t="inlineStr">
        <is>
          <t>2026-10-21</t>
        </is>
      </c>
    </row>
    <row r="697">
      <c r="A697" s="4" t="inlineStr">
        <is>
          <t>University of Saskatchewan</t>
        </is>
      </c>
      <c r="B697" s="4" t="inlineStr">
        <is>
          <t>TOEFL minimum</t>
        </is>
      </c>
      <c r="C697" s="4" t="inlineStr">
        <is>
          <t>86</t>
        </is>
      </c>
      <c r="D697" s="4" t="inlineStr">
        <is>
          <t>TOEFL iBT 86 with at least 19 in each section (tests from Jan 21, 2026: 4.5 overall, no section below 4.0); IELTS 6.5 (no band below 6.0); Duolingo 120</t>
        </is>
      </c>
      <c r="E697" s="4" t="inlineStr">
        <is>
          <t>Fully qualified: Overall score of 86 with minimum scores of 19 in each area | Tests dated January 21, 2026 or later: overall score of 4.5 with no score below 4.0 in each area.</t>
        </is>
      </c>
      <c r="F697" s="4" t="inlineStr">
        <is>
          <t>https://grad.usask.ca/admissions/admission-requirements.php</t>
        </is>
      </c>
      <c r="G697" s="4" t="inlineStr"/>
      <c r="H697" s="4" t="inlineStr">
        <is>
          <t>2026-10-21</t>
        </is>
      </c>
    </row>
    <row r="698">
      <c r="A698" s="4" t="inlineStr">
        <is>
          <t>University of Saskatchewan</t>
        </is>
      </c>
      <c r="B698" s="4" t="inlineStr">
        <is>
          <t>English-test waiver (English-medium degree)</t>
        </is>
      </c>
      <c r="C698" s="4" t="inlineStr">
        <is>
          <t>Conditional</t>
        </is>
      </c>
      <c r="D698" s="4" t="inlineStr">
        <is>
          <t>Exempt after 3+ consecutive years of full-time study (or a graduate degree) at an institution whose exclusive language of instruction is English (eligible-institution list); acceptance is at the department's discretion and a test can still be required</t>
        </is>
      </c>
      <c r="E698" s="4" t="inlineStr">
        <is>
          <t>A minimum of three consecutive years of full-time study or completion of a graduate degree at a recognized post-secondary institution, where the exclusive language of instruction and examination of the program and/or institution is English | approval is at the discretion of the academic unit in which the graduate program is housed</t>
        </is>
      </c>
      <c r="F698" s="4" t="inlineStr">
        <is>
          <t>https://grad.usask.ca/admissions/admission-requirements.php</t>
        </is>
      </c>
      <c r="G698" s="4" t="inlineStr"/>
      <c r="H698" s="4" t="inlineStr">
        <is>
          <t>2026-10-21</t>
        </is>
      </c>
    </row>
    <row r="699">
      <c r="A699" s="4" t="inlineStr">
        <is>
          <t>University of Saskatchewan</t>
        </is>
      </c>
      <c r="B699" s="4" t="inlineStr">
        <is>
          <t>Supervisor before admission</t>
        </is>
      </c>
      <c r="C699" s="4" t="inlineStr">
        <is>
          <t>Recommended</t>
        </is>
      </c>
      <c r="D699" s="4" t="inlineStr">
        <is>
          <t>Supervisor approval recommended before applying; applications without a confirmed supervisor are circulated to faculty</t>
        </is>
      </c>
      <c r="E699" s="4" t="inlineStr">
        <is>
          <t>Supervisor approval recommended before applying | Before applying, we recommend contacting a potential supervisor whose research areas align with your interests. | if you haven’t yet confirmed a supervisor, it will be shared with our faculty members.</t>
        </is>
      </c>
      <c r="F699" s="4" t="inlineStr">
        <is>
          <t>https://grad.usask.ca/programs/physics-engineering-physics.php</t>
        </is>
      </c>
      <c r="G699" s="4" t="inlineStr"/>
      <c r="H699" s="4" t="inlineStr">
        <is>
          <t>2026-10-21</t>
        </is>
      </c>
    </row>
    <row r="700">
      <c r="A700" s="4" t="inlineStr">
        <is>
          <t>University of Saskatchewan</t>
        </is>
      </c>
      <c r="B700" s="4" t="inlineStr">
        <is>
          <t>PhD funding</t>
        </is>
      </c>
      <c r="C700" s="4" t="inlineStr">
        <is>
          <t>Guaranteed</t>
        </is>
      </c>
      <c r="D700" s="4" t="inlineStr">
        <is>
          <t>PhD students guaranteed a minimum stipend of CAD 20,000/year for 4 years, contingent on meeting standard academic requirements</t>
        </is>
      </c>
      <c r="E700" s="4" t="inlineStr">
        <is>
          <t>Ph.D. students enrolled in the Department of Physics and Engineering Physics are guaranteed a minimum stipend of $20,000/year for 4 years. This guaranteed funding is contingent upon the student maintaining standard academic requirements for the Ph.D. program.</t>
        </is>
      </c>
      <c r="F700" s="4" t="inlineStr">
        <is>
          <t>https://grad.usask.ca/programs/physics-engineering-physics.php</t>
        </is>
      </c>
      <c r="G700" s="4" t="inlineStr"/>
      <c r="H700" s="4" t="inlineStr">
        <is>
          <t>2026-10-21</t>
        </is>
      </c>
    </row>
    <row r="701">
      <c r="A701" s="4" t="inlineStr">
        <is>
          <t>University of Saskatchewan</t>
        </is>
      </c>
      <c r="B701" s="4" t="inlineStr">
        <is>
          <t>Entry route</t>
        </is>
      </c>
      <c r="C701" s="4" t="inlineStr">
        <is>
          <t>Master's usually required</t>
        </is>
      </c>
      <c r="D701" s="4" t="inlineStr">
        <is>
          <t>Standard PhD entry requires a master's (70%+); direct entry from a four-year honours bachelor's is available to exceptionally strong students (80%+ in last two years) on department recommendation</t>
        </is>
      </c>
      <c r="E701" s="4" t="inlineStr">
        <is>
          <t>Master’s degree, or equivalent, from a recognized university in a relevant academic discipline | With the recommendation of the unit, direct entry Ph.D. admission is available to exceptionally strong students, who show great promise in terms of academic accomplishments and potential for research. | A cumulative weighted average of at least a 80% (USask grade system equivalent) in the last two years of study</t>
        </is>
      </c>
      <c r="F701" s="4" t="inlineStr">
        <is>
          <t>https://grad.usask.ca/programs/physics-engineering-physics.php</t>
        </is>
      </c>
      <c r="G701" s="4" t="inlineStr"/>
      <c r="H701" s="4" t="inlineStr">
        <is>
          <t>2026-10-21</t>
        </is>
      </c>
    </row>
    <row r="702">
      <c r="A702" s="4" t="inlineStr">
        <is>
          <t>University of Texas at Austin</t>
        </is>
      </c>
      <c r="B702" s="4" t="inlineStr">
        <is>
          <t>Deadline (2027 entry)</t>
        </is>
      </c>
      <c r="C702" s="4" t="inlineStr">
        <is>
          <t>2026-12-01</t>
        </is>
      </c>
      <c r="D702" s="4" t="inlineStr">
        <is>
          <t>1 December, 11:59 p.m. CST for Fall admission (one-week grace period stated). Year inferred for Fall 2027.</t>
        </is>
      </c>
      <c r="E702" s="4" t="inlineStr">
        <is>
          <t>11:59 p.m. CST on 1 December for Fall admission. We allow a grace period of precisely one (1) calendar week following each of the deadlines</t>
        </is>
      </c>
      <c r="F702" s="4" t="inlineStr">
        <is>
          <t>https://physics.utexas.edu/academics/admissions</t>
        </is>
      </c>
      <c r="G702" s="4" t="inlineStr">
        <is>
          <t>year inferred</t>
        </is>
      </c>
      <c r="H702" s="4" t="inlineStr">
        <is>
          <t>2026-10-21</t>
        </is>
      </c>
    </row>
    <row r="703">
      <c r="A703" s="4" t="inlineStr">
        <is>
          <t>University of Texas at Austin</t>
        </is>
      </c>
      <c r="B703" s="4" t="inlineStr">
        <is>
          <t>Application fee</t>
        </is>
      </c>
      <c r="C703" s="4" t="inlineStr">
        <is>
          <t>90 USD</t>
        </is>
      </c>
      <c r="D703" s="4" t="inlineStr">
        <is>
          <t>USD 90 for non-U.S. citizens (USD 65 U.S./PR)</t>
        </is>
      </c>
      <c r="E703" s="4" t="inlineStr">
        <is>
          <t>The fee is $65 for United States citizens or permanent residents, and $90 for non-U.S. citizens.</t>
        </is>
      </c>
      <c r="F703" s="4" t="inlineStr">
        <is>
          <t>https://physics.utexas.edu/academics/admissions</t>
        </is>
      </c>
      <c r="G703" s="4" t="inlineStr"/>
      <c r="H703" s="4" t="inlineStr">
        <is>
          <t>2026-10-21</t>
        </is>
      </c>
    </row>
    <row r="704">
      <c r="A704" s="4" t="inlineStr">
        <is>
          <t>University of Texas at Austin</t>
        </is>
      </c>
      <c r="B704" s="4" t="inlineStr">
        <is>
          <t>Intl fee waiver</t>
        </is>
      </c>
      <c r="C704" s="4" t="inlineStr">
        <is>
          <t>Limited</t>
        </is>
      </c>
      <c r="D704" s="4" t="inlineStr">
        <is>
          <t>Graduate School waivers for applicants meeting certain criteria; department not involved. Check criteria for international eligibility.</t>
        </is>
      </c>
      <c r="E704" s="4" t="inlineStr">
        <is>
          <t>The Graduate School provides fee waivers to applicants who meet certain criteria. The Department is not involved in either the fee payment or fee waiver processes.</t>
        </is>
      </c>
      <c r="F704" s="4" t="inlineStr">
        <is>
          <t>https://physics.utexas.edu/academics/admissions</t>
        </is>
      </c>
      <c r="G704" s="4" t="inlineStr"/>
      <c r="H704" s="4" t="inlineStr">
        <is>
          <t>2026-10-21</t>
        </is>
      </c>
    </row>
    <row r="705">
      <c r="A705" s="4" t="inlineStr">
        <is>
          <t>University of Texas at Austin</t>
        </is>
      </c>
      <c r="B705" s="4" t="inlineStr">
        <is>
          <t>GRE General</t>
        </is>
      </c>
      <c r="C705" s="4" t="inlineStr">
        <is>
          <t>Not considered</t>
        </is>
      </c>
      <c r="D705" s="4" t="inlineStr">
        <is>
          <t>Not required and not considered if submitted</t>
        </is>
      </c>
      <c r="E705" s="4" t="inlineStr">
        <is>
          <t>The General Graduate Record Examination (GRE) is not required and will not be considered as part of your application if submitted.</t>
        </is>
      </c>
      <c r="F705" s="4" t="inlineStr">
        <is>
          <t>https://physics.utexas.edu/academics/admissions</t>
        </is>
      </c>
      <c r="G705" s="4" t="inlineStr"/>
      <c r="H705" s="4" t="inlineStr">
        <is>
          <t>2026-10-21</t>
        </is>
      </c>
    </row>
    <row r="706">
      <c r="A706" s="4" t="inlineStr">
        <is>
          <t>University of Texas at Austin</t>
        </is>
      </c>
      <c r="B706" s="4" t="inlineStr">
        <is>
          <t>Physics GRE</t>
        </is>
      </c>
      <c r="C706" s="4" t="inlineStr">
        <is>
          <t>Optional</t>
        </is>
      </c>
      <c r="D706" s="4" t="inlineStr">
        <is>
          <t>Optional; if submitted you must justify it in the Statement of Purpose or it is ignored</t>
        </is>
      </c>
      <c r="E706" s="4" t="inlineStr">
        <is>
          <t>The GRE Subject Test in Physics (pGRE) is optional; if you choose to submit a pGRE score you must make a clear case (in your required Statement of Purpose) for why you believe it is integral to your application, otherwise, it will not be considered</t>
        </is>
      </c>
      <c r="F706" s="4" t="inlineStr">
        <is>
          <t>https://physics.utexas.edu/academics/admissions</t>
        </is>
      </c>
      <c r="G706" s="4" t="inlineStr"/>
      <c r="H706" s="4" t="inlineStr">
        <is>
          <t>2026-10-21</t>
        </is>
      </c>
    </row>
    <row r="707">
      <c r="A707" s="4" t="inlineStr">
        <is>
          <t>University of Texas at Austin</t>
        </is>
      </c>
      <c r="B707" s="4" t="inlineStr">
        <is>
          <t>TOEFL minimum</t>
        </is>
      </c>
      <c r="C707" s="4" t="inlineStr">
        <is>
          <t>79</t>
        </is>
      </c>
      <c r="D707" s="4" t="inlineStr">
        <is>
          <t>TOEFL 79 (or 4 on the 6-point scale); IELTS 6.5. The physics page says Duolingo is not accepted, while the university international page lists DET 115; confirm before relying on Duolingo.</t>
        </is>
      </c>
      <c r="E707" s="4" t="inlineStr">
        <is>
          <t>TOEFL: 79 on the Internet-based test (iBT); IELTS: An overall band of 6.5 on the Academic Examination. | The Institutional TOEFL (ITP) and the IELTS General Training, and alternatives (ex: Duolingo) are not accepted.</t>
        </is>
      </c>
      <c r="F707" s="4" t="inlineStr">
        <is>
          <t>https://physics.utexas.edu/academics/admissions</t>
        </is>
      </c>
      <c r="G707" s="4" t="inlineStr">
        <is>
          <t>sources conflict</t>
        </is>
      </c>
      <c r="H707" s="4" t="inlineStr">
        <is>
          <t>2026-10-21</t>
        </is>
      </c>
    </row>
    <row r="708">
      <c r="A708" s="4" t="inlineStr">
        <is>
          <t>University of Texas at Austin</t>
        </is>
      </c>
      <c r="B708" s="4" t="inlineStr">
        <is>
          <t>English-test waiver (English-medium degree)</t>
        </is>
      </c>
      <c r="C708" s="4" t="inlineStr">
        <is>
          <t>Yes</t>
        </is>
      </c>
      <c r="D708" s="4" t="inlineStr">
        <is>
          <t>India is on UT's list of qualifying countries exempt from TOEFL/IELTS (also exempt with a bachelor's from a U.S./qualifying-country institution)</t>
        </is>
      </c>
      <c r="E708" s="4" t="inlineStr">
        <is>
          <t>Students from the following countries are exempt from the TOEFL/IELTS requirement: American Samoa Australia Bahamas Barbados Belize Canada (except Quebec) Dominica Ghana Grenada Grand Cayman Guyana India Ireland ...</t>
        </is>
      </c>
      <c r="F708" s="4" t="inlineStr">
        <is>
          <t>https://admissions.utexas.edu/info-for/international-students/</t>
        </is>
      </c>
      <c r="G708" s="4" t="inlineStr"/>
      <c r="H708" s="4" t="inlineStr">
        <is>
          <t>2026-10-21</t>
        </is>
      </c>
    </row>
    <row r="709">
      <c r="A709" s="4" t="inlineStr">
        <is>
          <t>University of Texas at Austin</t>
        </is>
      </c>
      <c r="B709" s="4" t="inlineStr">
        <is>
          <t>Supervisor before admission</t>
        </is>
      </c>
      <c r="C709" s="4" t="inlineStr">
        <is>
          <t>Not stated</t>
        </is>
      </c>
      <c r="D709" s="4" t="inlineStr">
        <is>
          <t>Admission is decided by the department committee; no pre-application supervisor requirement mentioned on the pages checked</t>
        </is>
      </c>
      <c r="E709" s="4" t="inlineStr">
        <is>
          <t>(no statement found)</t>
        </is>
      </c>
      <c r="F709" s="4" t="inlineStr">
        <is>
          <t>https://physics.utexas.edu/academics/admissions</t>
        </is>
      </c>
      <c r="G709" s="4" t="inlineStr"/>
      <c r="H709" s="4" t="inlineStr">
        <is>
          <t>2026-10-21</t>
        </is>
      </c>
    </row>
    <row r="710">
      <c r="A710" s="4" t="inlineStr">
        <is>
          <t>University of Texas at Austin</t>
        </is>
      </c>
      <c r="B710" s="4" t="inlineStr">
        <is>
          <t>PhD funding</t>
        </is>
      </c>
      <c r="C710" s="4" t="inlineStr">
        <is>
          <t>Not stated</t>
        </is>
      </c>
      <c r="D710" s="4" t="inlineStr">
        <is>
          <t>PhD funding terms not stated on the admissions page (master's applicants get no support)</t>
        </is>
      </c>
      <c r="E710" s="4" t="inlineStr">
        <is>
          <t>Please note: Admitted Master’s applicants are not awarded financial support regardless of semester.</t>
        </is>
      </c>
      <c r="F710" s="4" t="inlineStr">
        <is>
          <t>https://physics.utexas.edu/academics/admissions</t>
        </is>
      </c>
      <c r="G710" s="4" t="inlineStr"/>
      <c r="H710" s="4" t="inlineStr">
        <is>
          <t>2026-10-21</t>
        </is>
      </c>
    </row>
    <row r="711">
      <c r="A711" s="4" t="inlineStr">
        <is>
          <t>University of Texas at Austin</t>
        </is>
      </c>
      <c r="B711" s="4" t="inlineStr">
        <is>
          <t>Entry route</t>
        </is>
      </c>
      <c r="C711" s="4" t="inlineStr">
        <is>
          <t>Direct from bachelor's</t>
        </is>
      </c>
      <c r="D711" s="4" t="inlineStr">
        <is>
          <t>Bachelor's (U.S. or equivalent in length and rigor) required before matriculation</t>
        </is>
      </c>
      <c r="E711" s="4" t="inlineStr">
        <is>
          <t>the University requires all applicants to have completed a bachelor's degree from an accredited U.S. college or university or an international degree equivalent to a U.S. bachelor’s degree in both length and rigor.</t>
        </is>
      </c>
      <c r="F711" s="4" t="inlineStr">
        <is>
          <t>https://physics.utexas.edu/academics/admissions</t>
        </is>
      </c>
      <c r="G711" s="4" t="inlineStr"/>
      <c r="H711" s="4" t="inlineStr">
        <is>
          <t>2026-10-21</t>
        </is>
      </c>
    </row>
    <row r="712">
      <c r="A712" s="4" t="inlineStr">
        <is>
          <t>University of Toronto</t>
        </is>
      </c>
      <c r="B712" s="4" t="inlineStr">
        <is>
          <t>Deadline (2027 entry)</t>
        </is>
      </c>
      <c r="C712" s="4" t="inlineStr">
        <is>
          <t>2026-12-11</t>
        </is>
      </c>
      <c r="D712" s="4" t="inlineStr">
        <is>
          <t>December 11, 11:59pm, all materials including both reference letters. Year inferred for September 2027 entry.</t>
        </is>
      </c>
      <c r="E712" s="4" t="inlineStr">
        <is>
          <t>Application opens on September 16th. The application deadline is December 11th. The December 11th, 11:59pm deadline is the date by which all application materials must be submitted</t>
        </is>
      </c>
      <c r="F712" s="4" t="inlineStr">
        <is>
          <t>https://www.physics.utoronto.ca/graduate/prospective-students/graduate-admissions-department-physics/application-procedure/</t>
        </is>
      </c>
      <c r="G712" s="4" t="inlineStr">
        <is>
          <t>year inferred</t>
        </is>
      </c>
      <c r="H712" s="4" t="inlineStr">
        <is>
          <t>2026-10-21</t>
        </is>
      </c>
    </row>
    <row r="713">
      <c r="A713" s="4" t="inlineStr">
        <is>
          <t>University of Toronto</t>
        </is>
      </c>
      <c r="B713" s="4" t="inlineStr">
        <is>
          <t>Application fee</t>
        </is>
      </c>
      <c r="C713" s="4" t="inlineStr">
        <is>
          <t>135 CAD</t>
        </is>
      </c>
      <c r="D713" s="4" t="inlineStr">
        <is>
          <t>CAD 135 per the application-procedure page; another department page still says CAD 130. Budget for 135.</t>
        </is>
      </c>
      <c r="E713" s="4" t="inlineStr">
        <is>
          <t>Applicants should complete their application and pay the $135 CAD application fee | We recommend that applicants complete their application and pay the $130 CAD application fee</t>
        </is>
      </c>
      <c r="F713" s="4" t="inlineStr">
        <is>
          <t>https://www.physics.utoronto.ca/graduate/prospective-students/graduate-admissions-department-physics/application-procedure/</t>
        </is>
      </c>
      <c r="G713" s="4" t="inlineStr">
        <is>
          <t>sources conflict</t>
        </is>
      </c>
      <c r="H713" s="4" t="inlineStr">
        <is>
          <t>2026-10-21</t>
        </is>
      </c>
    </row>
    <row r="714">
      <c r="A714" s="4" t="inlineStr">
        <is>
          <t>University of Toronto</t>
        </is>
      </c>
      <c r="B714" s="4" t="inlineStr">
        <is>
          <t>Intl fee waiver</t>
        </is>
      </c>
      <c r="C714" s="4" t="inlineStr">
        <is>
          <t>None</t>
        </is>
      </c>
      <c r="D714" s="4" t="inlineStr">
        <is>
          <t>Fee cannot be waived under any circumstances</t>
        </is>
      </c>
      <c r="E714" s="4" t="inlineStr">
        <is>
          <t>No, the application fee cannot be waived under any circumstances.</t>
        </is>
      </c>
      <c r="F714" s="4" t="inlineStr">
        <is>
          <t>https://www.physics.utoronto.ca/graduate/prospective-students/graduate-admissions-department-physics/frequently-asked-questions/</t>
        </is>
      </c>
      <c r="G714" s="4" t="inlineStr"/>
      <c r="H714" s="4" t="inlineStr">
        <is>
          <t>2026-10-21</t>
        </is>
      </c>
    </row>
    <row r="715">
      <c r="A715" s="4" t="inlineStr">
        <is>
          <t>University of Toronto</t>
        </is>
      </c>
      <c r="B715" s="4" t="inlineStr">
        <is>
          <t>GRE General</t>
        </is>
      </c>
      <c r="C715" s="4" t="inlineStr">
        <is>
          <t>Not required</t>
        </is>
      </c>
      <c r="D715" s="4" t="inlineStr">
        <is>
          <t>GRE not required</t>
        </is>
      </c>
      <c r="E715" s="4" t="inlineStr">
        <is>
          <t>GRE scores are not required.</t>
        </is>
      </c>
      <c r="F715" s="4" t="inlineStr">
        <is>
          <t>https://www.physics.utoronto.ca/graduate/prospective-students/graduate-admissions-department-physics/application-procedure/</t>
        </is>
      </c>
      <c r="G715" s="4" t="inlineStr"/>
      <c r="H715" s="4" t="inlineStr">
        <is>
          <t>2026-10-21</t>
        </is>
      </c>
    </row>
    <row r="716">
      <c r="A716" s="4" t="inlineStr">
        <is>
          <t>University of Toronto</t>
        </is>
      </c>
      <c r="B716" s="4" t="inlineStr">
        <is>
          <t>Physics GRE</t>
        </is>
      </c>
      <c r="C716" s="4" t="inlineStr">
        <is>
          <t>Not required</t>
        </is>
      </c>
      <c r="D716" s="4" t="inlineStr">
        <is>
          <t>Neither GRE general nor subject is required</t>
        </is>
      </c>
      <c r="E716" s="4" t="inlineStr">
        <is>
          <t>Do I need to take the GRE general and subject exams? There is no requirement to take these examinations.</t>
        </is>
      </c>
      <c r="F716" s="4" t="inlineStr">
        <is>
          <t>https://www.physics.utoronto.ca/graduate/prospective-students/graduate-admissions-department-physics/frequently-asked-questions/</t>
        </is>
      </c>
      <c r="G716" s="4" t="inlineStr"/>
      <c r="H716" s="4" t="inlineStr">
        <is>
          <t>2026-10-21</t>
        </is>
      </c>
    </row>
    <row r="717">
      <c r="A717" s="4" t="inlineStr">
        <is>
          <t>University of Toronto</t>
        </is>
      </c>
      <c r="B717" s="4" t="inlineStr">
        <is>
          <t>TOEFL minimum</t>
        </is>
      </c>
      <c r="C717" s="4" t="inlineStr">
        <is>
          <t>93</t>
        </is>
      </c>
      <c r="D717" s="4" t="inlineStr">
        <is>
          <t>TOEFL iBT overall 93 (SGS minimum; plus a writing/essay minimum). TOEFL moved to a 1-6 scale on Jan 21, 2026; both scales accepted.</t>
        </is>
      </c>
      <c r="E717" s="4" t="inlineStr">
        <is>
          <t>Overall Score: 93</t>
        </is>
      </c>
      <c r="F717" s="4" t="inlineStr">
        <is>
          <t>https://www.sgs.utoronto.ca/future-students/admission-application-requirements/english-language-proficiency-testing/</t>
        </is>
      </c>
      <c r="G717" s="4" t="inlineStr"/>
      <c r="H717" s="4" t="inlineStr">
        <is>
          <t>2026-10-21</t>
        </is>
      </c>
    </row>
    <row r="718">
      <c r="A718" s="4" t="inlineStr">
        <is>
          <t>University of Toronto</t>
        </is>
      </c>
      <c r="B718" s="4" t="inlineStr">
        <is>
          <t>English-test waiver (English-medium degree)</t>
        </is>
      </c>
      <c r="C718" s="4" t="inlineStr">
        <is>
          <t>Yes</t>
        </is>
      </c>
      <c r="D718" s="4" t="inlineStr">
        <is>
          <t>No test if your degree is from a university where instruction AND examination are in English; an official letter is needed unless the transcript says so</t>
        </is>
      </c>
      <c r="E718" s="4" t="inlineStr">
        <is>
          <t>Submission of an acceptable EFT score is NOT required for applicants who have completed or expect to complete a program of study at a university where the language of instruction and examination is English. An official letter from the university confirming English instruction and examination will be required, unless there is an appropriate notation on the transcript.</t>
        </is>
      </c>
      <c r="F718" s="4" t="inlineStr">
        <is>
          <t>https://www.physics.utoronto.ca/graduate/prospective-students/graduate-admissions-department-physics/application-procedure/</t>
        </is>
      </c>
      <c r="G718" s="4" t="inlineStr"/>
      <c r="H718" s="4" t="inlineStr">
        <is>
          <t>2026-10-21</t>
        </is>
      </c>
    </row>
    <row r="719">
      <c r="A719" s="4" t="inlineStr">
        <is>
          <t>University of Toronto</t>
        </is>
      </c>
      <c r="B719" s="4" t="inlineStr">
        <is>
          <t>Supervisor before admission</t>
        </is>
      </c>
      <c r="C719" s="4" t="inlineStr">
        <is>
          <t>Not required</t>
        </is>
      </c>
      <c r="D719" s="4" t="inlineStr">
        <is>
          <t>No supervisor needed to apply; MSc and 5-year direct-entry PhD students pick one after arrival; 4-year PhD entrants (with a master's) must secure one before registration, typically by May</t>
        </is>
      </c>
      <c r="E719" s="4" t="inlineStr">
        <is>
          <t>Students admitted to the MSc and (5-year) direct-entry PhD programs are not required to secure a supervisor prior to arrival on campus. | students starting their first year to the (4-year) PhD program are required to secure a supervisor prior to registration. Typically, newly admitted PhD students will secure their supervisor by May.  ||  There is no requirement to secure a supervisor prior to application. (https://www.physics.utoronto.ca/graduate/prospective-students/graduate-admissions-department-physics/application-procedure/)</t>
        </is>
      </c>
      <c r="F719" s="4" t="inlineStr">
        <is>
          <t>https://www.physics.utoronto.ca/graduate/prospective-students/graduate-admissions-department-physics/frequently-asked-questions/</t>
        </is>
      </c>
      <c r="G719" s="4" t="inlineStr"/>
      <c r="H719" s="4" t="inlineStr">
        <is>
          <t>2026-10-21</t>
        </is>
      </c>
    </row>
    <row r="720">
      <c r="A720" s="4" t="inlineStr">
        <is>
          <t>University of Toronto</t>
        </is>
      </c>
      <c r="B720" s="4" t="inlineStr">
        <is>
          <t>PhD funding</t>
        </is>
      </c>
      <c r="C720" s="4" t="inlineStr">
        <is>
          <t>Not stated</t>
        </is>
      </c>
      <c r="D720" s="4" t="inlineStr">
        <is>
          <t>Funding package not described on the admissions pages checked</t>
        </is>
      </c>
      <c r="E720" s="4" t="inlineStr">
        <is>
          <t>(no statement found)</t>
        </is>
      </c>
      <c r="F720" s="4" t="inlineStr">
        <is>
          <t>https://www.physics.utoronto.ca/graduate/prospective-students/graduate-admissions-department-physics/</t>
        </is>
      </c>
      <c r="G720" s="4" t="inlineStr"/>
      <c r="H720" s="4" t="inlineStr">
        <is>
          <t>2026-10-21</t>
        </is>
      </c>
    </row>
    <row r="721">
      <c r="A721" s="4" t="inlineStr">
        <is>
          <t>University of Toronto</t>
        </is>
      </c>
      <c r="B721" s="4" t="inlineStr">
        <is>
          <t>Entry route</t>
        </is>
      </c>
      <c r="C721" s="4" t="inlineStr">
        <is>
          <t>Either</t>
        </is>
      </c>
      <c r="D721" s="4" t="inlineStr">
        <is>
          <t>Apply to MSc or PhD; all MSc applicants are considered for 5-year direct-entry PhD</t>
        </is>
      </c>
      <c r="E721" s="4" t="inlineStr">
        <is>
          <t>Our Admission Committee will consider all MSc applicants for direct entry to the PhD program, so there is no need to submit more than one application.</t>
        </is>
      </c>
      <c r="F721" s="4" t="inlineStr">
        <is>
          <t>https://www.physics.utoronto.ca/graduate/prospective-students/graduate-admissions-department-physics/application-procedure/</t>
        </is>
      </c>
      <c r="G721" s="4" t="inlineStr"/>
      <c r="H721" s="4" t="inlineStr">
        <is>
          <t>2026-10-21</t>
        </is>
      </c>
    </row>
    <row r="722">
      <c r="A722" s="4" t="inlineStr">
        <is>
          <t>University of Virginia</t>
        </is>
      </c>
      <c r="B722" s="4" t="inlineStr">
        <is>
          <t>Deadline (2027 entry)</t>
        </is>
      </c>
      <c r="C722" s="4" t="inlineStr">
        <is>
          <t>2026-12-15</t>
        </is>
      </c>
      <c r="D722" s="4" t="inlineStr">
        <is>
          <t>PhD Physics: December 15 (year inferred; portal opens October 1). Physics MS has a separate Jan 15 / rolling-to-May 1 schedule.</t>
        </is>
      </c>
      <c r="E722" s="4" t="inlineStr">
        <is>
          <t>PhD | December 1 | Biology, Psychology, Chemistry | December 15 | Anthropology (not accepting applications this cycle), Art &amp; Architectural History, Economics, English, History, Media Studies, Nursing, Physics, Politics, Religious Studies, French</t>
        </is>
      </c>
      <c r="F722" s="4" t="inlineStr">
        <is>
          <t>https://graduate.as.virginia.edu/deadlines</t>
        </is>
      </c>
      <c r="G722" s="4" t="inlineStr">
        <is>
          <t>year inferred</t>
        </is>
      </c>
      <c r="H722" s="4" t="inlineStr">
        <is>
          <t>2026-10-22</t>
        </is>
      </c>
    </row>
    <row r="723">
      <c r="A723" s="4" t="inlineStr">
        <is>
          <t>University of Virginia</t>
        </is>
      </c>
      <c r="B723" s="4" t="inlineStr">
        <is>
          <t>Application fee</t>
        </is>
      </c>
      <c r="C723" s="4" t="inlineStr">
        <is>
          <t>85 USD</t>
        </is>
      </c>
      <c r="D723" s="4" t="inlineStr">
        <is>
          <t>USD 85, non-refundable; one GSAS program per season</t>
        </is>
      </c>
      <c r="E723" s="4" t="inlineStr">
        <is>
          <t>A non-refundable fee of $85 is due at the time the application is submitted.</t>
        </is>
      </c>
      <c r="F723" s="4" t="inlineStr">
        <is>
          <t>https://graduate.as.virginia.edu/requirements</t>
        </is>
      </c>
      <c r="G723" s="4" t="inlineStr"/>
      <c r="H723" s="4" t="inlineStr">
        <is>
          <t>2026-10-22</t>
        </is>
      </c>
    </row>
    <row r="724">
      <c r="A724" s="4" t="inlineStr">
        <is>
          <t>University of Virginia</t>
        </is>
      </c>
      <c r="B724" s="4" t="inlineStr">
        <is>
          <t>Intl fee waiver</t>
        </is>
      </c>
      <c r="C724" s="4" t="inlineStr">
        <is>
          <t>Limited</t>
        </is>
      </c>
      <c r="D724" s="4" t="inlineStr">
        <is>
          <t>Waivers for US citizens/PRs with hardship; internationals only if citizens of UN least developed countries (India is not on the list); GSAS gives no waiver codes</t>
        </is>
      </c>
      <c r="E724" s="4" t="inlineStr">
        <is>
          <t>International Applicants: Citizens of the countries listed below, which are recognized by the United Nations as least developed countries (LDCs), are eligible to receive a need-based application fee waiver. | Please note that international applicants from countries not included in the United Nations' list of LDCs will not qualify for this fee waiver.</t>
        </is>
      </c>
      <c r="F724" s="4" t="inlineStr">
        <is>
          <t>https://graduate.as.virginia.edu/requirements</t>
        </is>
      </c>
      <c r="G724" s="4" t="inlineStr"/>
      <c r="H724" s="4" t="inlineStr">
        <is>
          <t>2026-10-22</t>
        </is>
      </c>
    </row>
    <row r="725">
      <c r="A725" s="4" t="inlineStr">
        <is>
          <t>University of Virginia</t>
        </is>
      </c>
      <c r="B725" s="4" t="inlineStr">
        <is>
          <t>GRE General</t>
        </is>
      </c>
      <c r="C725" s="4" t="inlineStr">
        <is>
          <t>Not required</t>
        </is>
      </c>
      <c r="D725" s="4" t="inlineStr">
        <is>
          <t>General GRE not required for Physics</t>
        </is>
      </c>
      <c r="E725" s="4" t="inlineStr">
        <is>
          <t>Applicants to degree programs in Physics require a valid Physics GRE score; general GRE scores are not required.</t>
        </is>
      </c>
      <c r="F725" s="4" t="inlineStr">
        <is>
          <t>https://graduate.as.virginia.edu/requirements</t>
        </is>
      </c>
      <c r="G725" s="4" t="inlineStr"/>
      <c r="H725" s="4" t="inlineStr">
        <is>
          <t>2026-10-22</t>
        </is>
      </c>
    </row>
    <row r="726">
      <c r="A726" s="4" t="inlineStr">
        <is>
          <t>University of Virginia</t>
        </is>
      </c>
      <c r="B726" s="4" t="inlineStr">
        <is>
          <t>Physics GRE</t>
        </is>
      </c>
      <c r="C726" s="4" t="inlineStr">
        <is>
          <t>Required</t>
        </is>
      </c>
      <c r="D726" s="4" t="inlineStr">
        <is>
          <t>Valid Physics GRE score required (self-reported at application; official scores needed on matriculation)</t>
        </is>
      </c>
      <c r="E726" s="4" t="inlineStr">
        <is>
          <t>Applicants to degree programs in Physics require a valid Physics GRE score; general GRE scores are not required.</t>
        </is>
      </c>
      <c r="F726" s="4" t="inlineStr">
        <is>
          <t>https://graduate.as.virginia.edu/requirements</t>
        </is>
      </c>
      <c r="G726" s="4" t="inlineStr"/>
      <c r="H726" s="4" t="inlineStr">
        <is>
          <t>2026-10-22</t>
        </is>
      </c>
    </row>
    <row r="727">
      <c r="A727" s="4" t="inlineStr">
        <is>
          <t>University of Virginia</t>
        </is>
      </c>
      <c r="B727" s="4" t="inlineStr">
        <is>
          <t>TOEFL minimum</t>
        </is>
      </c>
      <c r="C727" s="4" t="inlineStr">
        <is>
          <t>90</t>
        </is>
      </c>
      <c r="D727" s="4" t="inlineStr">
        <is>
          <t>TOEFL iBT 90 with sections S22/W22/R23/L23 (before 1/21/26) or 4.5 overall (new scale); IELTS 7.0 each section; DET 130; committees may consider lower scores</t>
        </is>
      </c>
      <c r="E727" s="4" t="inlineStr">
        <is>
          <t>Taken before 1/21/26: 90 overall, with sectional minimums of 22 in speaking, 22 in writing, 23 in reading, and 23 in listening</t>
        </is>
      </c>
      <c r="F727" s="4" t="inlineStr">
        <is>
          <t>https://graduate.as.virginia.edu/requirements</t>
        </is>
      </c>
      <c r="G727" s="4" t="inlineStr"/>
      <c r="H727" s="4" t="inlineStr">
        <is>
          <t>2026-10-22</t>
        </is>
      </c>
    </row>
    <row r="728">
      <c r="A728" s="4" t="inlineStr">
        <is>
          <t>University of Virginia</t>
        </is>
      </c>
      <c r="B728" s="4" t="inlineStr">
        <is>
          <t>English-test waiver (English-medium degree)</t>
        </is>
      </c>
      <c r="C728" s="4" t="inlineStr">
        <is>
          <t>Conditional</t>
        </is>
      </c>
      <c r="D728" s="4" t="inlineStr">
        <is>
          <t>Automatic waiver if the whole undergraduate degree is from an institution where English is the primary language of instruction, with evidence (transcript or primary-language certificate); other proof considered case by case</t>
        </is>
      </c>
      <c r="E728" s="4" t="inlineStr">
        <is>
          <t>Automatic waiver. The TOEFL requirement is waived for applicants who have earned or will earn an undergraduate degree entirely at an institution where English is the primary language of instruction. To receive this waiver, submit supporting evidence, such as a transcript or a primary language certificate, as part of the electronic application.</t>
        </is>
      </c>
      <c r="F728" s="4" t="inlineStr">
        <is>
          <t>https://graduate.as.virginia.edu/requirements</t>
        </is>
      </c>
      <c r="G728" s="4" t="inlineStr"/>
      <c r="H728" s="4" t="inlineStr">
        <is>
          <t>2026-10-22</t>
        </is>
      </c>
    </row>
    <row r="729">
      <c r="A729" s="4" t="inlineStr">
        <is>
          <t>University of Virginia</t>
        </is>
      </c>
      <c r="B729" s="4" t="inlineStr">
        <is>
          <t>Supervisor before admission</t>
        </is>
      </c>
      <c r="C729" s="4" t="inlineStr">
        <is>
          <t>Not stated</t>
        </is>
      </c>
      <c r="D729" s="4" t="inlineStr">
        <is>
          <t>Not stated on the page checked</t>
        </is>
      </c>
      <c r="E729" s="4" t="inlineStr">
        <is>
          <t>(no statement found)</t>
        </is>
      </c>
      <c r="F729" s="4" t="inlineStr">
        <is>
          <t>https://graduate.as.virginia.edu/requirements</t>
        </is>
      </c>
      <c r="G729" s="4" t="inlineStr"/>
      <c r="H729" s="4" t="inlineStr">
        <is>
          <t>2026-10-22</t>
        </is>
      </c>
    </row>
    <row r="730">
      <c r="A730" s="4" t="inlineStr">
        <is>
          <t>University of Virginia</t>
        </is>
      </c>
      <c r="B730" s="4" t="inlineStr">
        <is>
          <t>PhD funding</t>
        </is>
      </c>
      <c r="C730" s="4" t="inlineStr">
        <is>
          <t>Guaranteed</t>
        </is>
      </c>
      <c r="D730" s="4" t="inlineStr">
        <is>
          <t>Doctoral admits get at least five years of support: 12-month stipend $37,260, full tuition/fees remission, single health insurance</t>
        </is>
      </c>
      <c r="E730" s="4" t="inlineStr">
        <is>
          <t>The Graduate School offers doctoral students a minimum of five years of financial support upon admission, including twelve-month living support of $37,260 and full remission of tuition, fees and the premium for single-person coverage</t>
        </is>
      </c>
      <c r="F730" s="4" t="inlineStr">
        <is>
          <t>https://graduate.as.virginia.edu/graduate-student-financial-support</t>
        </is>
      </c>
      <c r="G730" s="4" t="inlineStr"/>
      <c r="H730" s="4" t="inlineStr">
        <is>
          <t>2026-10-22</t>
        </is>
      </c>
    </row>
    <row r="731">
      <c r="A731" s="4" t="inlineStr">
        <is>
          <t>University of Virginia</t>
        </is>
      </c>
      <c r="B731" s="4" t="inlineStr">
        <is>
          <t>Entry route</t>
        </is>
      </c>
      <c r="C731" s="4" t="inlineStr">
        <is>
          <t>Not stated</t>
        </is>
      </c>
      <c r="D731" s="4" t="inlineStr">
        <is>
          <t>Not stated on the page checked</t>
        </is>
      </c>
      <c r="E731" s="4" t="inlineStr">
        <is>
          <t>(no statement found)</t>
        </is>
      </c>
      <c r="F731" s="4" t="inlineStr">
        <is>
          <t>https://graduate.as.virginia.edu/requirements</t>
        </is>
      </c>
      <c r="G731" s="4" t="inlineStr"/>
      <c r="H731" s="4" t="inlineStr">
        <is>
          <t>2026-10-22</t>
        </is>
      </c>
    </row>
    <row r="732">
      <c r="A732" s="4" t="inlineStr">
        <is>
          <t>University of Washington (Seattle)</t>
        </is>
      </c>
      <c r="B732" s="4" t="inlineStr">
        <is>
          <t>Deadline (2027 entry)</t>
        </is>
      </c>
      <c r="C732" s="4" t="inlineStr">
        <is>
          <t>2026-12-15</t>
        </is>
      </c>
      <c r="D732" s="4" t="inlineStr">
        <is>
          <t>December 15, 2026 (autumn quarter entry only)</t>
        </is>
      </c>
      <c r="E732" s="4" t="inlineStr">
        <is>
          <t>Applications are accepted annually for autumn quarter admissions (only), and must be submitted online. Admission deadline: DECEMBER 15, 2026.</t>
        </is>
      </c>
      <c r="F732" s="4" t="inlineStr">
        <is>
          <t>https://phys.washington.edu/graduate-programs</t>
        </is>
      </c>
      <c r="G732" s="4" t="inlineStr"/>
      <c r="H732" s="4" t="inlineStr">
        <is>
          <t>2026-10-21</t>
        </is>
      </c>
    </row>
    <row r="733">
      <c r="A733" s="4" t="inlineStr">
        <is>
          <t>University of Washington (Seattle)</t>
        </is>
      </c>
      <c r="B733" s="4" t="inlineStr">
        <is>
          <t>Application fee</t>
        </is>
      </c>
      <c r="C733" s="4" t="inlineStr">
        <is>
          <t>90 USD</t>
        </is>
      </c>
      <c r="D733" s="4" t="inlineStr">
        <is>
          <t>USD 90 (same for all applicants; subject to change)</t>
        </is>
      </c>
      <c r="E733" s="4" t="inlineStr">
        <is>
          <t>The nonrefundable application fee is $90.00 (USD)</t>
        </is>
      </c>
      <c r="F733" s="4" t="inlineStr">
        <is>
          <t>https://grad.uw.edu/prospective-students/how-to-apply/apply-now/</t>
        </is>
      </c>
      <c r="G733" s="4" t="inlineStr"/>
      <c r="H733" s="4" t="inlineStr">
        <is>
          <t>2026-10-21</t>
        </is>
      </c>
    </row>
    <row r="734">
      <c r="A734" s="4" t="inlineStr">
        <is>
          <t>University of Washington (Seattle)</t>
        </is>
      </c>
      <c r="B734" s="4" t="inlineStr">
        <is>
          <t>Intl fee waiver</t>
        </is>
      </c>
      <c r="C734" s="4" t="inlineStr">
        <is>
          <t>Domestic only</t>
        </is>
      </c>
      <c r="D734" s="4" t="inlineStr">
        <is>
          <t>Physics gives no waivers; Graduate School need-based and prep-program waivers are for U.S. citizens, permanent residents and undocumented applicants</t>
        </is>
      </c>
      <c r="E734" s="4" t="inlineStr">
        <is>
          <t>Unfortunately, the Physics Department does not provide application fee waivers. Limited application fee waivers are available from the UW Graduate School for eligible US applicants.  ||  Application fee waivers are available to U.S. citizens, permanent residents, and undocumented applicants who demonstrate financial need or hardship. (https://grad.uw.edu/prospective-students/how-to-apply/application-fee-waivers/)</t>
        </is>
      </c>
      <c r="F734" s="4" t="inlineStr">
        <is>
          <t>https://phys.washington.edu/graduate-programs</t>
        </is>
      </c>
      <c r="G734" s="4" t="inlineStr"/>
      <c r="H734" s="4" t="inlineStr">
        <is>
          <t>2026-10-21</t>
        </is>
      </c>
    </row>
    <row r="735">
      <c r="A735" s="4" t="inlineStr">
        <is>
          <t>University of Washington (Seattle)</t>
        </is>
      </c>
      <c r="B735" s="4" t="inlineStr">
        <is>
          <t>GRE General</t>
        </is>
      </c>
      <c r="C735" s="4" t="inlineStr">
        <is>
          <t>Not stated</t>
        </is>
      </c>
      <c r="D735" s="4" t="inlineStr">
        <is>
          <t>Not stated on the page checked (only the Physics GRE is mentioned)</t>
        </is>
      </c>
      <c r="E735" s="4" t="inlineStr">
        <is>
          <t>(no statement found)</t>
        </is>
      </c>
      <c r="F735" s="4" t="inlineStr">
        <is>
          <t>https://phys.washington.edu/graduate-programs</t>
        </is>
      </c>
      <c r="G735" s="4" t="inlineStr"/>
      <c r="H735" s="4" t="inlineStr">
        <is>
          <t>2026-10-21</t>
        </is>
      </c>
    </row>
    <row r="736">
      <c r="A736" s="4" t="inlineStr">
        <is>
          <t>University of Washington (Seattle)</t>
        </is>
      </c>
      <c r="B736" s="4" t="inlineStr">
        <is>
          <t>Physics GRE</t>
        </is>
      </c>
      <c r="C736" s="4" t="inlineStr">
        <is>
          <t>Optional</t>
        </is>
      </c>
      <c r="D736" s="4" t="inlineStr">
        <is>
          <t>Optional, plays a relatively minor role; submit only if it materially strengthens the application</t>
        </is>
      </c>
      <c r="E736" s="4" t="inlineStr">
        <is>
          <t>The GRE Subject Test in Physics (P-GRE) is optional in our admissions process, and typically plays a relatively minor role. | We emphasize that every application will be given full consideration, regardless of whether or not scores are submitted.</t>
        </is>
      </c>
      <c r="F736" s="4" t="inlineStr">
        <is>
          <t>https://phys.washington.edu/graduate-programs</t>
        </is>
      </c>
      <c r="G736" s="4" t="inlineStr"/>
      <c r="H736" s="4" t="inlineStr">
        <is>
          <t>2026-10-21</t>
        </is>
      </c>
    </row>
    <row r="737">
      <c r="A737" s="4" t="inlineStr">
        <is>
          <t>University of Washington (Seattle)</t>
        </is>
      </c>
      <c r="B737" s="4" t="inlineStr">
        <is>
          <t>TOEFL minimum</t>
        </is>
      </c>
      <c r="C737" s="4" t="inlineStr">
        <is>
          <t>80</t>
        </is>
      </c>
      <c r="D737" s="4" t="inlineStr">
        <is>
          <t>TOEFL 80 (before Jan 21, 2026) or 4.0 (new scale) minimum; below 92 / 4.5 requires Academic English Program courses. IELTS 6.5 min (7.0 recommended); Duolingo 115 min (130 recommended)</t>
        </is>
      </c>
      <c r="E737" s="4" t="inlineStr">
        <is>
          <t>Minimum Required Score | (80 for tests taken before Jan 21, 2026) | Recommended Score | (92 for tests taken before Jan 21, 2026)</t>
        </is>
      </c>
      <c r="F737" s="4" t="inlineStr">
        <is>
          <t>https://grad.uw.edu/policies/3-2-graduate-school-english-language-proficiency-requirements/</t>
        </is>
      </c>
      <c r="G737" s="4" t="inlineStr"/>
      <c r="H737" s="4" t="inlineStr">
        <is>
          <t>2026-10-21</t>
        </is>
      </c>
    </row>
    <row r="738">
      <c r="A738" s="4" t="inlineStr">
        <is>
          <t>University of Washington (Seattle)</t>
        </is>
      </c>
      <c r="B738" s="4" t="inlineStr">
        <is>
          <t>English-test waiver (English-medium degree)</t>
        </is>
      </c>
      <c r="C738" s="4" t="inlineStr">
        <is>
          <t>Conditional</t>
        </is>
      </c>
      <c r="D738" s="4" t="inlineStr">
        <is>
          <t>An English-medium degree counts, but Indian applicants need official documentation from the institution that all instruction was in English (India is not on the no-documentation country list) and must have been in residence on or near the campus for the whole degree (no remote/online study)</t>
        </is>
      </c>
      <c r="E738" s="4" t="inlineStr">
        <is>
          <t>An earned and bachelor’s, master’s, or doctoral degree (or an internationally recognized academic degree at the same level) from an accredited institution for which English was the medium of instruction. | The student must have been in residence on, or in close proximity to, the degree granting campus for the full duration of enrollment | Official documentation from the applicant’s degree-granting institutions verifying that all instruction is in English (as described in the Graduate Admissions page) is required, except for degrees from accredited institutions in the following countries: Anguilla, Antigua and Barbuda, Australia, the Bahamas, Barbados, Belize, Bermuda, Cayman Islands, Canada, Dominica, Ghana, Grenada, Guyana, Ireland, Jamaica, Kenya, Liberia, Montserrat, New Zealand, Nigeria, Saint Kitts and Nevis, Saint Lucia, Saint Vincent and the Grenadines, Singapore, South Africa, Trinidad and Tobago, Turks and Caicos Islands, United Kingdom, the United States, or the Virgin Islands.</t>
        </is>
      </c>
      <c r="F738" s="4" t="inlineStr">
        <is>
          <t>https://grad.uw.edu/policies/3-2-graduate-school-english-language-proficiency-requirements/</t>
        </is>
      </c>
      <c r="G738" s="4" t="inlineStr"/>
      <c r="H738" s="4" t="inlineStr">
        <is>
          <t>2026-10-21</t>
        </is>
      </c>
    </row>
    <row r="739">
      <c r="A739" s="4" t="inlineStr">
        <is>
          <t>University of Washington (Seattle)</t>
        </is>
      </c>
      <c r="B739" s="4" t="inlineStr">
        <is>
          <t>Supervisor before admission</t>
        </is>
      </c>
      <c r="C739" s="4" t="inlineStr">
        <is>
          <t>Not required</t>
        </is>
      </c>
      <c r="D739" s="4" t="inlineStr">
        <is>
          <t>Admission is to the department PhD program, not to a research group; students find a research advisor during the first years</t>
        </is>
      </c>
      <c r="E739" s="4" t="inlineStr">
        <is>
          <t>Selected applicants are admitted to the PhD program of the UW Department of Physics, not to a specific research group, and are encouraged to explore research opportunities throughout the Department.</t>
        </is>
      </c>
      <c r="F739" s="4" t="inlineStr">
        <is>
          <t>https://phys.washington.edu/graduate-programs</t>
        </is>
      </c>
      <c r="G739" s="4" t="inlineStr"/>
      <c r="H739" s="4" t="inlineStr">
        <is>
          <t>2026-10-21</t>
        </is>
      </c>
    </row>
    <row r="740">
      <c r="A740" s="4" t="inlineStr">
        <is>
          <t>University of Washington (Seattle)</t>
        </is>
      </c>
      <c r="B740" s="4" t="inlineStr">
        <is>
          <t>PhD funding</t>
        </is>
      </c>
      <c r="C740" s="4" t="inlineStr">
        <is>
          <t>Typical</t>
        </is>
      </c>
      <c r="D740" s="4" t="inlineStr">
        <is>
          <t>Department aims to support all full-time PhD students making satisfactory progress; most first-years get full TA support in the offer; later support via RA/TA (student must find an advisor for RA)</t>
        </is>
      </c>
      <c r="E740" s="4" t="inlineStr">
        <is>
          <t>The Department aims to provide financial support for all full-time PhD students making satisfactory progress, and has been successful in doing so for many years. | Most first-year students are provided full TA support during their first academic year as part of their admission offer.</t>
        </is>
      </c>
      <c r="F740" s="4" t="inlineStr">
        <is>
          <t>https://phys.washington.edu/graduate-programs</t>
        </is>
      </c>
      <c r="G740" s="4" t="inlineStr"/>
      <c r="H740" s="4" t="inlineStr">
        <is>
          <t>2026-10-21</t>
        </is>
      </c>
    </row>
    <row r="741">
      <c r="A741" s="4" t="inlineStr">
        <is>
          <t>University of Washington (Seattle)</t>
        </is>
      </c>
      <c r="B741" s="4" t="inlineStr">
        <is>
          <t>Entry route</t>
        </is>
      </c>
      <c r="C741" s="4" t="inlineStr">
        <is>
          <t>Direct from bachelor's</t>
        </is>
      </c>
      <c r="D741" s="4" t="inlineStr">
        <is>
          <t>Applicants are expected to have strong undergraduate physics preparation; a prior master's is treated as advanced standing, not a requirement</t>
        </is>
      </c>
      <c r="E741" s="4" t="inlineStr">
        <is>
          <t>Applicants to the doctoral program are expected to have a strong undergraduate preparation in physics | Entering PhD students with advanced standing, for example with a prior Master's degree in Physics or transferring from another institution after completing one or more years in a Physics PhD program, may often graduate after 3 or 4 years in our program.</t>
        </is>
      </c>
      <c r="F741" s="4" t="inlineStr">
        <is>
          <t>https://phys.washington.edu/graduate-programs</t>
        </is>
      </c>
      <c r="G741" s="4" t="inlineStr"/>
      <c r="H741" s="4" t="inlineStr">
        <is>
          <t>2026-10-21</t>
        </is>
      </c>
    </row>
    <row r="742">
      <c r="A742" s="4" t="inlineStr">
        <is>
          <t>University of Waterloo</t>
        </is>
      </c>
      <c r="B742" s="4" t="inlineStr">
        <is>
          <t>Deadline (2027 entry)</t>
        </is>
      </c>
      <c r="C742" s="4" t="inlineStr">
        <is>
          <t>2027-01-09</t>
        </is>
      </c>
      <c r="D742" s="4" t="inlineStr">
        <is>
          <t>January 9 for September admission (early applications encouraged). Year inferred for September 2027 entry.</t>
        </is>
      </c>
      <c r="E742" s="4" t="inlineStr">
        <is>
          <t>January 9 (for admission in September, early applications encouraged)</t>
        </is>
      </c>
      <c r="F742" s="4" t="inlineStr">
        <is>
          <t>https://uwaterloo.ca/physics-astronomy/graduate-studies/how-apply</t>
        </is>
      </c>
      <c r="G742" s="4" t="inlineStr">
        <is>
          <t>year inferred</t>
        </is>
      </c>
      <c r="H742" s="4" t="inlineStr">
        <is>
          <t>2026-10-21</t>
        </is>
      </c>
    </row>
    <row r="743">
      <c r="A743" s="4" t="inlineStr">
        <is>
          <t>University of Waterloo</t>
        </is>
      </c>
      <c r="B743" s="4" t="inlineStr">
        <is>
          <t>Application fee</t>
        </is>
      </c>
      <c r="C743" s="4" t="inlineStr">
        <is>
          <t>150 CAD</t>
        </is>
      </c>
      <c r="D743" s="4" t="inlineStr">
        <is>
          <t>CAD 150 per program, non-refundable</t>
        </is>
      </c>
      <c r="E743" s="4" t="inlineStr">
        <is>
          <t>pay the non-refundable application fee of $150 CAD per program via the link in your portal.</t>
        </is>
      </c>
      <c r="F743" s="4" t="inlineStr">
        <is>
          <t>https://uwaterloo.ca/future-graduate-students/admissions/how-to-apply</t>
        </is>
      </c>
      <c r="G743" s="4" t="inlineStr"/>
      <c r="H743" s="4" t="inlineStr">
        <is>
          <t>2026-10-21</t>
        </is>
      </c>
    </row>
    <row r="744">
      <c r="A744" s="4" t="inlineStr">
        <is>
          <t>University of Waterloo</t>
        </is>
      </c>
      <c r="B744" s="4" t="inlineStr">
        <is>
          <t>Intl fee waiver</t>
        </is>
      </c>
      <c r="C744" s="4" t="inlineStr">
        <is>
          <t>Not stated</t>
        </is>
      </c>
      <c r="D744" s="4" t="inlineStr">
        <is>
          <t>No fee-waiver route stated on the pages checked</t>
        </is>
      </c>
      <c r="E744" s="4" t="inlineStr">
        <is>
          <t>(no statement found)</t>
        </is>
      </c>
      <c r="F744" s="4" t="inlineStr">
        <is>
          <t>https://uwaterloo.ca/future-graduate-students/admissions/how-to-apply</t>
        </is>
      </c>
      <c r="G744" s="4" t="inlineStr"/>
      <c r="H744" s="4" t="inlineStr">
        <is>
          <t>2026-10-21</t>
        </is>
      </c>
    </row>
    <row r="745">
      <c r="A745" s="4" t="inlineStr">
        <is>
          <t>University of Waterloo</t>
        </is>
      </c>
      <c r="B745" s="4" t="inlineStr">
        <is>
          <t>GRE General</t>
        </is>
      </c>
      <c r="C745" s="4" t="inlineStr">
        <is>
          <t>Not stated</t>
        </is>
      </c>
      <c r="D745" s="4" t="inlineStr">
        <is>
          <t>The department page mentions only the Physics subject GRE</t>
        </is>
      </c>
      <c r="E745" s="4" t="inlineStr">
        <is>
          <t>(no statement found)</t>
        </is>
      </c>
      <c r="F745" s="4" t="inlineStr">
        <is>
          <t>https://uwaterloo.ca/physics-astronomy/graduate-studies/how-apply</t>
        </is>
      </c>
      <c r="G745" s="4" t="inlineStr"/>
      <c r="H745" s="4" t="inlineStr">
        <is>
          <t>2026-10-21</t>
        </is>
      </c>
    </row>
    <row r="746">
      <c r="A746" s="4" t="inlineStr">
        <is>
          <t>University of Waterloo</t>
        </is>
      </c>
      <c r="B746" s="4" t="inlineStr">
        <is>
          <t>Physics GRE</t>
        </is>
      </c>
      <c r="C746" s="4" t="inlineStr">
        <is>
          <t>Recommended</t>
        </is>
      </c>
      <c r="D746" s="4" t="inlineStr">
        <is>
          <t>Encouraged (not required) for applicants schooled outside Canada</t>
        </is>
      </c>
      <c r="E746" s="4" t="inlineStr">
        <is>
          <t>Students who did not complete their schooling in Canada are encouraged to submit a Physics subject GRE score, however it is not required for a successful application.</t>
        </is>
      </c>
      <c r="F746" s="4" t="inlineStr">
        <is>
          <t>https://uwaterloo.ca/physics-astronomy/graduate-studies/how-apply</t>
        </is>
      </c>
      <c r="G746" s="4" t="inlineStr"/>
      <c r="H746" s="4" t="inlineStr">
        <is>
          <t>2026-10-21</t>
        </is>
      </c>
    </row>
    <row r="747">
      <c r="A747" s="4" t="inlineStr">
        <is>
          <t>University of Waterloo</t>
        </is>
      </c>
      <c r="B747" s="4" t="inlineStr">
        <is>
          <t>TOEFL minimum</t>
        </is>
      </c>
      <c r="C747" s="4" t="inlineStr">
        <is>
          <t>90</t>
        </is>
      </c>
      <c r="D747" s="4" t="inlineStr">
        <is>
          <t>TOEFL 90 (writing 25, speaking 25); IELTS 7.0 (writing 6.5, speaking 6.5)</t>
        </is>
      </c>
      <c r="E747" s="4" t="inlineStr">
        <is>
          <t>TOEFL 90 (writing 25 speaking 25), IELTS 7.0 (writing 6.5, speaking 6.5)</t>
        </is>
      </c>
      <c r="F747" s="4" t="inlineStr">
        <is>
          <t>https://uwaterloo.ca/physics-astronomy/graduate-studies/phd-programs</t>
        </is>
      </c>
      <c r="G747" s="4" t="inlineStr"/>
      <c r="H747" s="4" t="inlineStr">
        <is>
          <t>2026-10-21</t>
        </is>
      </c>
    </row>
    <row r="748">
      <c r="A748" s="4" t="inlineStr">
        <is>
          <t>University of Waterloo</t>
        </is>
      </c>
      <c r="B748" s="4" t="inlineStr">
        <is>
          <t>English-test waiver (English-medium degree)</t>
        </is>
      </c>
      <c r="C748" s="4" t="inlineStr">
        <is>
          <t>Conditional</t>
        </is>
      </c>
      <c r="D748" s="4" t="inlineStr">
        <is>
          <t>Exempt only if 3+ years of study at a university listed in WHED with English as the ONLY language of instruction; exemption expires 2 years after graduation; medium-of-instruction letters are not accepted</t>
        </is>
      </c>
      <c r="E748" s="4" t="inlineStr">
        <is>
          <t>You have completed three or more years of post-secondary education, or completed a graduate degree at a university where English is listed as the only language of instruction on the International Association of Universities World Higher Education Database (WHED). | Letters from your university stating the medium of instruction is English do not satisfy Waterloo admission requirements.</t>
        </is>
      </c>
      <c r="F748" s="4" t="inlineStr">
        <is>
          <t>https://uwaterloo.ca/future-graduate-students/admissions/admission-and-english-language-proficiency-requirements</t>
        </is>
      </c>
      <c r="G748" s="4" t="inlineStr"/>
      <c r="H748" s="4" t="inlineStr">
        <is>
          <t>2026-10-21</t>
        </is>
      </c>
    </row>
    <row r="749">
      <c r="A749" s="4" t="inlineStr">
        <is>
          <t>University of Waterloo</t>
        </is>
      </c>
      <c r="B749" s="4" t="inlineStr">
        <is>
          <t>Supervisor before admission</t>
        </is>
      </c>
      <c r="C749" s="4" t="inlineStr">
        <is>
          <t>Required</t>
        </is>
      </c>
      <c r="D749" s="4" t="inlineStr">
        <is>
          <t>Admission requires a faculty member willing to supervise you; contact before or after applying and name supervisors on the application</t>
        </is>
      </c>
      <c r="E749" s="4" t="inlineStr">
        <is>
          <t>admission into a graduate program requires matching with a faculty member that is willing to serve as your supervisor.</t>
        </is>
      </c>
      <c r="F749" s="4" t="inlineStr">
        <is>
          <t>https://uwaterloo.ca/physics-astronomy/graduate-studies/how-apply</t>
        </is>
      </c>
      <c r="G749" s="4" t="inlineStr"/>
      <c r="H749" s="4" t="inlineStr">
        <is>
          <t>2026-10-21</t>
        </is>
      </c>
    </row>
    <row r="750">
      <c r="A750" s="4" t="inlineStr">
        <is>
          <t>University of Waterloo</t>
        </is>
      </c>
      <c r="B750" s="4" t="inlineStr">
        <is>
          <t>PhD funding</t>
        </is>
      </c>
      <c r="C750" s="4" t="inlineStr">
        <is>
          <t>Guaranteed</t>
        </is>
      </c>
      <c r="D750" s="4" t="inlineStr">
        <is>
          <t>Funding package for all graduate students within program time limits (GRS, TA, awards); TA two of three terms</t>
        </is>
      </c>
      <c r="E750" s="4" t="inlineStr">
        <is>
          <t>The Department of Physics &amp; Astronomy provides a nationally competitive funding package to all of our graduate students within their program time limits.</t>
        </is>
      </c>
      <c r="F750" s="4" t="inlineStr">
        <is>
          <t>https://uwaterloo.ca/physics-astronomy/graduate-studies/funding-and-tuition</t>
        </is>
      </c>
      <c r="G750" s="4" t="inlineStr"/>
      <c r="H750" s="4" t="inlineStr">
        <is>
          <t>2026-10-21</t>
        </is>
      </c>
    </row>
    <row r="751">
      <c r="A751" s="4" t="inlineStr">
        <is>
          <t>University of Waterloo</t>
        </is>
      </c>
      <c r="B751" s="4" t="inlineStr">
        <is>
          <t>Entry route</t>
        </is>
      </c>
      <c r="C751" s="4" t="inlineStr">
        <is>
          <t>Master's usually required</t>
        </is>
      </c>
      <c r="D751" s="4" t="inlineStr">
        <is>
          <t>PhD normally requires a master's in physics (75%+); MSc students can transfer to an accelerated PhD</t>
        </is>
      </c>
      <c r="E751" s="4" t="inlineStr">
        <is>
          <t>Normally a Master's degree in Physics, with at least a 75% standing.</t>
        </is>
      </c>
      <c r="F751" s="4" t="inlineStr">
        <is>
          <t>https://uwaterloo.ca/physics-astronomy/graduate-studies/phd-programs</t>
        </is>
      </c>
      <c r="G751" s="4" t="inlineStr"/>
      <c r="H751" s="4" t="inlineStr">
        <is>
          <t>2026-10-21</t>
        </is>
      </c>
    </row>
    <row r="752">
      <c r="A752" s="4" t="inlineStr">
        <is>
          <t>University of Wisconsin-Madison</t>
        </is>
      </c>
      <c r="B752" s="4" t="inlineStr">
        <is>
          <t>Deadline (2027 entry)</t>
        </is>
      </c>
      <c r="C752" s="4" t="inlineStr">
        <is>
          <t>2026-12-15</t>
        </is>
      </c>
      <c r="D752" s="4" t="inlineStr">
        <is>
          <t>December 15, 2026 for Fall 2027 (all materials via the Graduate School application)</t>
        </is>
      </c>
      <c r="E752" s="4" t="inlineStr">
        <is>
          <t>Fall 2027 Physics PhD Application Deadline: December 15, 2026</t>
        </is>
      </c>
      <c r="F752" s="4" t="inlineStr">
        <is>
          <t>https://www.physics.wisc.edu/graduate/phd-program/</t>
        </is>
      </c>
      <c r="G752" s="4" t="inlineStr"/>
      <c r="H752" s="4" t="inlineStr">
        <is>
          <t>2026-10-21</t>
        </is>
      </c>
    </row>
    <row r="753">
      <c r="A753" s="4" t="inlineStr">
        <is>
          <t>University of Wisconsin-Madison</t>
        </is>
      </c>
      <c r="B753" s="4" t="inlineStr">
        <is>
          <t>Application fee</t>
        </is>
      </c>
      <c r="C753" s="4" t="inlineStr">
        <is>
          <t>Not stated</t>
        </is>
      </c>
      <c r="D753" s="4" t="inlineStr">
        <is>
          <t>Amount not shown on the pages checked; one fee covers up to 3 UW-Madison programs</t>
        </is>
      </c>
      <c r="E753" s="4" t="inlineStr">
        <is>
          <t>You can apply to 3 different graduate programs at UW-Madison for only one application fee.</t>
        </is>
      </c>
      <c r="F753" s="4" t="inlineStr">
        <is>
          <t>https://www.physics.wisc.edu/graduate/phd-program/</t>
        </is>
      </c>
      <c r="G753" s="4" t="inlineStr"/>
      <c r="H753" s="4" t="inlineStr">
        <is>
          <t>2026-10-21</t>
        </is>
      </c>
    </row>
    <row r="754">
      <c r="A754" s="4" t="inlineStr">
        <is>
          <t>University of Wisconsin-Madison</t>
        </is>
      </c>
      <c r="B754" s="4" t="inlineStr">
        <is>
          <t>Intl fee waiver</t>
        </is>
      </c>
      <c r="C754" s="4" t="inlineStr">
        <is>
          <t>Domestic only</t>
        </is>
      </c>
      <c r="D754" s="4" t="inlineStr">
        <is>
          <t>Department gives no waivers; Graduate School fee grants are for U.S. citizens and permanent residents only</t>
        </is>
      </c>
      <c r="E754" s="4" t="inlineStr">
        <is>
          <t>Fee grants are available to U.S. citizens and permanent residents who can document that they meet one of these eligibility criteria:  ||  The Department of Physics is not able to provide application fee waivers, but we encourage you to apply for a fee grant from the Graduate School if you qualify. (https://www.physics.wisc.edu/graduate/phd-program/)</t>
        </is>
      </c>
      <c r="F754" s="4" t="inlineStr">
        <is>
          <t>https://grad.wisc.edu/apply/fee-grant/</t>
        </is>
      </c>
      <c r="G754" s="4" t="inlineStr"/>
      <c r="H754" s="4" t="inlineStr">
        <is>
          <t>2026-10-21</t>
        </is>
      </c>
    </row>
    <row r="755">
      <c r="A755" s="4" t="inlineStr">
        <is>
          <t>University of Wisconsin-Madison</t>
        </is>
      </c>
      <c r="B755" s="4" t="inlineStr">
        <is>
          <t>GRE General</t>
        </is>
      </c>
      <c r="C755" s="4" t="inlineStr">
        <is>
          <t>Not considered</t>
        </is>
      </c>
      <c r="D755" s="4" t="inlineStr">
        <is>
          <t>General GRE is not considered even if submitted</t>
        </is>
      </c>
      <c r="E755" s="4" t="inlineStr">
        <is>
          <t>The general GRE will not be considered even if submitted.</t>
        </is>
      </c>
      <c r="F755" s="4" t="inlineStr">
        <is>
          <t>https://www.physics.wisc.edu/graduate/phd-program/</t>
        </is>
      </c>
      <c r="G755" s="4" t="inlineStr"/>
      <c r="H755" s="4" t="inlineStr">
        <is>
          <t>2026-10-21</t>
        </is>
      </c>
    </row>
    <row r="756">
      <c r="A756" s="4" t="inlineStr">
        <is>
          <t>University of Wisconsin-Madison</t>
        </is>
      </c>
      <c r="B756" s="4" t="inlineStr">
        <is>
          <t>Physics GRE</t>
        </is>
      </c>
      <c r="C756" s="4" t="inlineStr">
        <is>
          <t>Optional</t>
        </is>
      </c>
      <c r="D756" s="4" t="inlineStr">
        <is>
          <t>Not required; reviewed if sent; recommended if your transcript understates you, it would significantly help, or you aim for theory</t>
        </is>
      </c>
      <c r="E756" s="4" t="inlineStr">
        <is>
          <t>The Department of Physics does not require the subject GRE for admission. | The subject GRE is recommended in these circumstances: Your transcript does not accurately reflect your academic strengths If including the score would significantly strengthen your application You are particularly interested in pursuing Physics Theory as a research focus</t>
        </is>
      </c>
      <c r="F756" s="4" t="inlineStr">
        <is>
          <t>https://www.physics.wisc.edu/graduate/phd-program/</t>
        </is>
      </c>
      <c r="G756" s="4" t="inlineStr"/>
      <c r="H756" s="4" t="inlineStr">
        <is>
          <t>2026-10-21</t>
        </is>
      </c>
    </row>
    <row r="757">
      <c r="A757" s="4" t="inlineStr">
        <is>
          <t>University of Wisconsin-Madison</t>
        </is>
      </c>
      <c r="B757" s="4" t="inlineStr">
        <is>
          <t>TOEFL minimum</t>
        </is>
      </c>
      <c r="C757" s="4" t="inlineStr">
        <is>
          <t>92</t>
        </is>
      </c>
      <c r="D757" s="4" t="inlineStr">
        <is>
          <t>TOEFL 92 (before Jan 21, 2026) or 5.0 (new scale); IELTS, IELTS Indicator, Duolingo also accepted</t>
        </is>
      </c>
      <c r="E757" s="4" t="inlineStr">
        <is>
          <t>Minimum TOEFL requirement:92 for tests taken before January 21, 2026 | Minimum TOEFL requirement:5.0 for tests taken on and after January 21, 2026</t>
        </is>
      </c>
      <c r="F757" s="4" t="inlineStr">
        <is>
          <t>https://info.grad.wisc.edu/requirements-for-admission</t>
        </is>
      </c>
      <c r="G757" s="4" t="inlineStr"/>
      <c r="H757" s="4" t="inlineStr">
        <is>
          <t>2026-10-21</t>
        </is>
      </c>
    </row>
    <row r="758">
      <c r="A758" s="4" t="inlineStr">
        <is>
          <t>University of Wisconsin-Madison</t>
        </is>
      </c>
      <c r="B758" s="4" t="inlineStr">
        <is>
          <t>English-test waiver (English-medium degree)</t>
        </is>
      </c>
      <c r="C758" s="4" t="inlineStr">
        <is>
          <t>Check tool</t>
        </is>
      </c>
      <c r="D758" s="4" t="inlineStr">
        <is>
          <t>Graduate School decides via a country-selector tool; result for India not shown in static page text</t>
        </is>
      </c>
      <c r="E758" s="4" t="inlineStr">
        <is>
          <t>Select your country:</t>
        </is>
      </c>
      <c r="F758" s="4" t="inlineStr">
        <is>
          <t>https://info.grad.wisc.edu/requirements-for-admission</t>
        </is>
      </c>
      <c r="G758" s="4" t="inlineStr"/>
      <c r="H758" s="4" t="inlineStr">
        <is>
          <t>2026-10-21</t>
        </is>
      </c>
    </row>
    <row r="759">
      <c r="A759" s="4" t="inlineStr">
        <is>
          <t>University of Wisconsin-Madison</t>
        </is>
      </c>
      <c r="B759" s="4" t="inlineStr">
        <is>
          <t>Supervisor before admission</t>
        </is>
      </c>
      <c r="C759" s="4" t="inlineStr">
        <is>
          <t>Not required</t>
        </is>
      </c>
      <c r="D759" s="4" t="inlineStr">
        <is>
          <t>Advisor chosen after entry; early selection encouraged; any physics faculty or affiliate</t>
        </is>
      </c>
      <c r="E759" s="4" t="inlineStr">
        <is>
          <t>An early start in selecting a research area and a doctoral advisor is encouraged and expected; students in the Physics PhD program may select any physics faculty member or affiliate member.</t>
        </is>
      </c>
      <c r="F759" s="4" t="inlineStr">
        <is>
          <t>https://www.physics.wisc.edu/graduate/phd-program/</t>
        </is>
      </c>
      <c r="G759" s="4" t="inlineStr"/>
      <c r="H759" s="4" t="inlineStr">
        <is>
          <t>2026-10-21</t>
        </is>
      </c>
    </row>
    <row r="760">
      <c r="A760" s="4" t="inlineStr">
        <is>
          <t>University of Wisconsin-Madison</t>
        </is>
      </c>
      <c r="B760" s="4" t="inlineStr">
        <is>
          <t>PhD funding</t>
        </is>
      </c>
      <c r="C760" s="4" t="inlineStr">
        <is>
          <t>Guaranteed</t>
        </is>
      </c>
      <c r="D760" s="4" t="inlineStr">
        <is>
          <t>Five years of financial support guaranteed for admitted PhD students</t>
        </is>
      </c>
      <c r="E760" s="4" t="inlineStr">
        <is>
          <t>All admitted PhD students are provided with a guarantee of five years of financial support.</t>
        </is>
      </c>
      <c r="F760" s="4" t="inlineStr">
        <is>
          <t>https://www.physics.wisc.edu/graduate/phd-program/</t>
        </is>
      </c>
      <c r="G760" s="4" t="inlineStr"/>
      <c r="H760" s="4" t="inlineStr">
        <is>
          <t>2026-10-21</t>
        </is>
      </c>
    </row>
    <row r="761">
      <c r="A761" s="4" t="inlineStr">
        <is>
          <t>University of Wisconsin-Madison</t>
        </is>
      </c>
      <c r="B761" s="4" t="inlineStr">
        <is>
          <t>Entry route</t>
        </is>
      </c>
      <c r="C761" s="4" t="inlineStr">
        <is>
          <t>Direct from bachelor's</t>
        </is>
      </c>
      <c r="D761" s="4" t="inlineStr">
        <is>
          <t>Applicants need a bachelor's meeting Graduate School requirements</t>
        </is>
      </c>
      <c r="E761" s="4" t="inlineStr">
        <is>
          <t>Applicants must satisfy the Graduate School requirements for undergraduate grade-point average, bachelor’s degree, and English proficiency</t>
        </is>
      </c>
      <c r="F761" s="4" t="inlineStr">
        <is>
          <t>https://www.physics.wisc.edu/graduate/phd-program/</t>
        </is>
      </c>
      <c r="G761" s="4" t="inlineStr"/>
      <c r="H761" s="4" t="inlineStr">
        <is>
          <t>2026-10-21</t>
        </is>
      </c>
    </row>
    <row r="762">
      <c r="A762" s="4" t="inlineStr">
        <is>
          <t>University of Zurich (UZH)</t>
        </is>
      </c>
      <c r="B762" s="4" t="inlineStr">
        <is>
          <t>Deadline (2027 entry)</t>
        </is>
      </c>
      <c r="C762" s="4" t="inlineStr">
        <is>
          <t>Per position</t>
        </is>
      </c>
      <c r="D762" s="4" t="inlineStr">
        <is>
          <t>No central call: apply to advertised open positions or contact group leaders directly. After a group accepts you, the UZH Admissions Office window for Fall-semester doctoral studies is 1 January to 31 July (pre-application required)</t>
        </is>
      </c>
      <c r="E762" s="4" t="inlineStr">
        <is>
          <t>If you are interested in obtaining a PhD at our institute, you can directly look for and apply to open positions here. You may also contact the group leaders of the individual research groups directly to ask about open PhD positions.  ||  Doctoral Studies Please note that a pre-application is necessary. For more information please see admission procedure. 1 January until 31 July (https://www.uzh.ch/en/studies/application/deadlines.html)</t>
        </is>
      </c>
      <c r="F762" s="4" t="inlineStr">
        <is>
          <t>https://www.physik.uzh.ch/en/study/Study-Degree-Programmes/phd.html</t>
        </is>
      </c>
      <c r="G762" s="4" t="inlineStr"/>
      <c r="H762" s="4" t="inlineStr">
        <is>
          <t>2026-10-21</t>
        </is>
      </c>
    </row>
    <row r="763">
      <c r="A763" s="4" t="inlineStr">
        <is>
          <t>University of Zurich (UZH)</t>
        </is>
      </c>
      <c r="B763" s="4" t="inlineStr">
        <is>
          <t>Application fee</t>
        </is>
      </c>
      <c r="C763" s="4" t="inlineStr">
        <is>
          <t>100 CHF</t>
        </is>
      </c>
      <c r="D763" s="4" t="inlineStr">
        <is>
          <t>CHF 100 UZH application fee for doctoral studies (non-refundable)</t>
        </is>
      </c>
      <c r="E763" s="4" t="inlineStr">
        <is>
          <t>Bachelor's and Master's Degree, Teaching Diploma and Doctoral Studies 100.— | Application fees will not be refunded or credited against other fees.</t>
        </is>
      </c>
      <c r="F763" s="4" t="inlineStr">
        <is>
          <t>https://www.uzh.ch/en/studies/application/fees.html</t>
        </is>
      </c>
      <c r="G763" s="4" t="inlineStr"/>
      <c r="H763" s="4" t="inlineStr">
        <is>
          <t>2026-10-21</t>
        </is>
      </c>
    </row>
    <row r="764">
      <c r="A764" s="4" t="inlineStr">
        <is>
          <t>University of Zurich (UZH)</t>
        </is>
      </c>
      <c r="B764" s="4" t="inlineStr">
        <is>
          <t>Intl fee waiver</t>
        </is>
      </c>
      <c r="C764" s="4" t="inlineStr">
        <is>
          <t>Not stated</t>
        </is>
      </c>
      <c r="D764" s="4" t="inlineStr">
        <is>
          <t>Not stated on the page checked</t>
        </is>
      </c>
      <c r="E764" s="4" t="inlineStr">
        <is>
          <t>(no statement found)</t>
        </is>
      </c>
      <c r="F764" s="4" t="inlineStr">
        <is>
          <t>https://www.uzh.ch/en/studies/application/fees.html</t>
        </is>
      </c>
      <c r="G764" s="4" t="inlineStr"/>
      <c r="H764" s="4" t="inlineStr">
        <is>
          <t>2026-10-21</t>
        </is>
      </c>
    </row>
    <row r="765">
      <c r="A765" s="4" t="inlineStr">
        <is>
          <t>University of Zurich (UZH)</t>
        </is>
      </c>
      <c r="B765" s="4" t="inlineStr">
        <is>
          <t>GRE General</t>
        </is>
      </c>
      <c r="C765" s="4" t="inlineStr">
        <is>
          <t>Not stated</t>
        </is>
      </c>
      <c r="D765" s="4" t="inlineStr">
        <is>
          <t>Not stated on the page checked</t>
        </is>
      </c>
      <c r="E765" s="4" t="inlineStr">
        <is>
          <t>(no statement found)</t>
        </is>
      </c>
      <c r="F765" s="4" t="inlineStr">
        <is>
          <t>https://www.physik.uzh.ch/en/study/Study-Degree-Programmes/phd.html</t>
        </is>
      </c>
      <c r="G765" s="4" t="inlineStr"/>
      <c r="H765" s="4" t="inlineStr">
        <is>
          <t>2026-10-21</t>
        </is>
      </c>
    </row>
    <row r="766">
      <c r="A766" s="4" t="inlineStr">
        <is>
          <t>University of Zurich (UZH)</t>
        </is>
      </c>
      <c r="B766" s="4" t="inlineStr">
        <is>
          <t>Physics GRE</t>
        </is>
      </c>
      <c r="C766" s="4" t="inlineStr">
        <is>
          <t>Not stated</t>
        </is>
      </c>
      <c r="D766" s="4" t="inlineStr">
        <is>
          <t>Not stated on the page checked</t>
        </is>
      </c>
      <c r="E766" s="4" t="inlineStr">
        <is>
          <t>(no statement found)</t>
        </is>
      </c>
      <c r="F766" s="4" t="inlineStr">
        <is>
          <t>https://www.physik.uzh.ch/en/study/Study-Degree-Programmes/phd.html</t>
        </is>
      </c>
      <c r="G766" s="4" t="inlineStr"/>
      <c r="H766" s="4" t="inlineStr">
        <is>
          <t>2026-10-21</t>
        </is>
      </c>
    </row>
    <row r="767">
      <c r="A767" s="4" t="inlineStr">
        <is>
          <t>University of Zurich (UZH)</t>
        </is>
      </c>
      <c r="B767" s="4" t="inlineStr">
        <is>
          <t>TOEFL minimum</t>
        </is>
      </c>
      <c r="C767" s="4" t="inlineStr">
        <is>
          <t>Not stated</t>
        </is>
      </c>
      <c r="D767" s="4" t="inlineStr">
        <is>
          <t>No test or minimum score stated; good German and/or English is essential because PhD students teach</t>
        </is>
      </c>
      <c r="E767" s="4" t="inlineStr">
        <is>
          <t>Since you are expected to participate in the education of younger students, a good knowledge of German and/or English is essential.</t>
        </is>
      </c>
      <c r="F767" s="4" t="inlineStr">
        <is>
          <t>https://www.physik.uzh.ch/en/study/Study-Degree-Programmes/phd.html</t>
        </is>
      </c>
      <c r="G767" s="4" t="inlineStr"/>
      <c r="H767" s="4" t="inlineStr">
        <is>
          <t>2026-10-21</t>
        </is>
      </c>
    </row>
    <row r="768">
      <c r="A768" s="4" t="inlineStr">
        <is>
          <t>University of Zurich (UZH)</t>
        </is>
      </c>
      <c r="B768" s="4" t="inlineStr">
        <is>
          <t>English-test waiver (English-medium degree)</t>
        </is>
      </c>
      <c r="C768" s="4" t="inlineStr">
        <is>
          <t>Not stated</t>
        </is>
      </c>
      <c r="D768" s="4" t="inlineStr">
        <is>
          <t>No English-test rule stated on the pages checked (the department only says good German and/or English is essential)</t>
        </is>
      </c>
      <c r="E768" s="4" t="inlineStr">
        <is>
          <t>a good knowledge of German and/or English is essential</t>
        </is>
      </c>
      <c r="F768" s="4" t="inlineStr">
        <is>
          <t>https://www.physik.uzh.ch/en/study/Study-Degree-Programmes/phd.html</t>
        </is>
      </c>
      <c r="G768" s="4" t="inlineStr"/>
      <c r="H768" s="4" t="inlineStr">
        <is>
          <t>2026-10-21</t>
        </is>
      </c>
    </row>
    <row r="769">
      <c r="A769" s="4" t="inlineStr">
        <is>
          <t>University of Zurich (UZH)</t>
        </is>
      </c>
      <c r="B769" s="4" t="inlineStr">
        <is>
          <t>Supervisor before admission</t>
        </is>
      </c>
      <c r="C769" s="4" t="inlineStr">
        <is>
          <t>Required</t>
        </is>
      </c>
      <c r="D769" s="4" t="inlineStr">
        <is>
          <t>A group leader must accept you and sign a Confirmation of Supervision; the Admissions Office cannot admit you without it</t>
        </is>
      </c>
      <c r="E769" s="4" t="inlineStr">
        <is>
          <t>Your supervisor needs to sign the Confirmation of Supervision and send it together with your CV, bachelor and master diploma as well as your transcript of records to the head of the graduate school.  ||  the Admissions Office decision on admission (see point 3 above) cannot be issued until confirmation of supervision (https://www.uzh.ch/en/studies/application/doctoralstudies.html)</t>
        </is>
      </c>
      <c r="F769" s="4" t="inlineStr">
        <is>
          <t>https://www.physik.uzh.ch/en/study/Study-Degree-Programmes/phd.html</t>
        </is>
      </c>
      <c r="G769" s="4" t="inlineStr"/>
      <c r="H769" s="4" t="inlineStr">
        <is>
          <t>2026-10-21</t>
        </is>
      </c>
    </row>
    <row r="770">
      <c r="A770" s="4" t="inlineStr">
        <is>
          <t>University of Zurich (UZH)</t>
        </is>
      </c>
      <c r="B770" s="4" t="inlineStr">
        <is>
          <t>PhD funding</t>
        </is>
      </c>
      <c r="C770" s="4" t="inlineStr">
        <is>
          <t>Typical</t>
        </is>
      </c>
      <c r="D770" s="4" t="inlineStr">
        <is>
          <t>PhD students are normally salaried; the department says the salary covers local living costs including social and health insurance</t>
        </is>
      </c>
      <c r="E770" s="4" t="inlineStr">
        <is>
          <t>The salary will allow you to cover all the local living expenses including all the necessary social and health insurances.</t>
        </is>
      </c>
      <c r="F770" s="4" t="inlineStr">
        <is>
          <t>https://www.physik.uzh.ch/en/study/Study-Degree-Programmes/phd.html</t>
        </is>
      </c>
      <c r="G770" s="4" t="inlineStr"/>
      <c r="H770" s="4" t="inlineStr">
        <is>
          <t>2026-10-21</t>
        </is>
      </c>
    </row>
    <row r="771">
      <c r="A771" s="4" t="inlineStr">
        <is>
          <t>University of Zurich (UZH)</t>
        </is>
      </c>
      <c r="B771" s="4" t="inlineStr">
        <is>
          <t>Entry route</t>
        </is>
      </c>
      <c r="C771" s="4" t="inlineStr">
        <is>
          <t>Master's usually required</t>
        </is>
      </c>
      <c r="D771" s="4" t="inlineStr">
        <is>
          <t>Master's degree in physics required (students about to finish their master's may apply)</t>
        </is>
      </c>
      <c r="E771" s="4" t="inlineStr">
        <is>
          <t>The prerequisites for the admission to the doctoral program in physics consist of a Master's degree in Physics. Students who have successfully completed their Master (or are about to do so) can apply for PhD positions in physics at the University of Zurich.</t>
        </is>
      </c>
      <c r="F771" s="4" t="inlineStr">
        <is>
          <t>https://www.physik.uzh.ch/en/study/Study-Degree-Programmes/phd.html</t>
        </is>
      </c>
      <c r="G771" s="4" t="inlineStr"/>
      <c r="H771" s="4" t="inlineStr">
        <is>
          <t>2026-10-21</t>
        </is>
      </c>
    </row>
    <row r="772">
      <c r="A772" s="4" t="inlineStr">
        <is>
          <t>Université Paris-Saclay</t>
        </is>
      </c>
      <c r="B772" s="4" t="inlineStr">
        <is>
          <t>Deadline (2027 entry)</t>
        </is>
      </c>
      <c r="C772" s="4" t="inlineStr">
        <is>
          <t>Not stated</t>
        </is>
      </c>
      <c r="D772" s="4" t="inlineStr">
        <is>
          <t>Only the 2024 calendar is shown: ADUM applications closed Apr 23 (EDOM), Apr 29 (EDPIF) and May 10, 2024 (PHENIICS), with auditions late May to early June. 2027 dates are not published on the page checked.</t>
        </is>
      </c>
      <c r="E772" s="4" t="inlineStr">
        <is>
          <t>Tuesday April 23, 2024: | Closing date for applications on ADUM | Monday April 29, 2024: | Friday May 10, 2024: | Application deadline on ADUM</t>
        </is>
      </c>
      <c r="F772" s="4" t="inlineStr">
        <is>
          <t>https://www.universite-paris-saclay.fr/en/phd-program-physics-graduate-school-physics</t>
        </is>
      </c>
      <c r="G772" s="4" t="inlineStr"/>
      <c r="H772" s="4" t="inlineStr">
        <is>
          <t>2026-10-21</t>
        </is>
      </c>
    </row>
    <row r="773">
      <c r="A773" s="4" t="inlineStr">
        <is>
          <t>Université Paris-Saclay</t>
        </is>
      </c>
      <c r="B773" s="4" t="inlineStr">
        <is>
          <t>Application fee</t>
        </is>
      </c>
      <c r="C773" s="4" t="inlineStr">
        <is>
          <t>Not stated</t>
        </is>
      </c>
      <c r="D773" s="4" t="inlineStr">
        <is>
          <t>Not stated on the page checked</t>
        </is>
      </c>
      <c r="E773" s="4" t="inlineStr">
        <is>
          <t>(no statement found)</t>
        </is>
      </c>
      <c r="F773" s="4" t="inlineStr">
        <is>
          <t>https://www.universite-paris-saclay.fr/en/phd-program-physics-graduate-school-physics</t>
        </is>
      </c>
      <c r="G773" s="4" t="inlineStr"/>
      <c r="H773" s="4" t="inlineStr">
        <is>
          <t>2026-10-21</t>
        </is>
      </c>
    </row>
    <row r="774">
      <c r="A774" s="4" t="inlineStr">
        <is>
          <t>Université Paris-Saclay</t>
        </is>
      </c>
      <c r="B774" s="4" t="inlineStr">
        <is>
          <t>Intl fee waiver</t>
        </is>
      </c>
      <c r="C774" s="4" t="inlineStr">
        <is>
          <t>Not stated</t>
        </is>
      </c>
      <c r="D774" s="4" t="inlineStr">
        <is>
          <t>Not stated on the page checked</t>
        </is>
      </c>
      <c r="E774" s="4" t="inlineStr">
        <is>
          <t>(no statement found)</t>
        </is>
      </c>
      <c r="F774" s="4" t="inlineStr">
        <is>
          <t>https://www.universite-paris-saclay.fr/en/phd-program-physics-graduate-school-physics</t>
        </is>
      </c>
      <c r="G774" s="4" t="inlineStr"/>
      <c r="H774" s="4" t="inlineStr">
        <is>
          <t>2026-10-21</t>
        </is>
      </c>
    </row>
    <row r="775">
      <c r="A775" s="4" t="inlineStr">
        <is>
          <t>Université Paris-Saclay</t>
        </is>
      </c>
      <c r="B775" s="4" t="inlineStr">
        <is>
          <t>GRE General</t>
        </is>
      </c>
      <c r="C775" s="4" t="inlineStr">
        <is>
          <t>Not stated</t>
        </is>
      </c>
      <c r="D775" s="4" t="inlineStr">
        <is>
          <t>Not stated on the page checked</t>
        </is>
      </c>
      <c r="E775" s="4" t="inlineStr">
        <is>
          <t>(no statement found)</t>
        </is>
      </c>
      <c r="F775" s="4" t="inlineStr">
        <is>
          <t>https://www.universite-paris-saclay.fr/en/phd-program-physics-graduate-school-physics</t>
        </is>
      </c>
      <c r="G775" s="4" t="inlineStr"/>
      <c r="H775" s="4" t="inlineStr">
        <is>
          <t>2026-10-21</t>
        </is>
      </c>
    </row>
    <row r="776">
      <c r="A776" s="4" t="inlineStr">
        <is>
          <t>Université Paris-Saclay</t>
        </is>
      </c>
      <c r="B776" s="4" t="inlineStr">
        <is>
          <t>Physics GRE</t>
        </is>
      </c>
      <c r="C776" s="4" t="inlineStr">
        <is>
          <t>Not stated</t>
        </is>
      </c>
      <c r="D776" s="4" t="inlineStr">
        <is>
          <t>Not stated on the page checked</t>
        </is>
      </c>
      <c r="E776" s="4" t="inlineStr">
        <is>
          <t>(no statement found)</t>
        </is>
      </c>
      <c r="F776" s="4" t="inlineStr">
        <is>
          <t>https://www.universite-paris-saclay.fr/en/phd-program-physics-graduate-school-physics</t>
        </is>
      </c>
      <c r="G776" s="4" t="inlineStr"/>
      <c r="H776" s="4" t="inlineStr">
        <is>
          <t>2026-10-21</t>
        </is>
      </c>
    </row>
    <row r="777">
      <c r="A777" s="4" t="inlineStr">
        <is>
          <t>Université Paris-Saclay</t>
        </is>
      </c>
      <c r="B777" s="4" t="inlineStr">
        <is>
          <t>TOEFL minimum</t>
        </is>
      </c>
      <c r="C777" s="4" t="inlineStr">
        <is>
          <t>Not stated</t>
        </is>
      </c>
      <c r="D777" s="4" t="inlineStr">
        <is>
          <t>No English test or minimum score stated on the page checked</t>
        </is>
      </c>
      <c r="E777" s="4" t="inlineStr">
        <is>
          <t>(no statement found)</t>
        </is>
      </c>
      <c r="F777" s="4" t="inlineStr">
        <is>
          <t>https://www.universite-paris-saclay.fr/en/phd-program-physics-graduate-school-physics</t>
        </is>
      </c>
      <c r="G777" s="4" t="inlineStr"/>
      <c r="H777" s="4" t="inlineStr">
        <is>
          <t>2026-10-21</t>
        </is>
      </c>
    </row>
    <row r="778">
      <c r="A778" s="4" t="inlineStr">
        <is>
          <t>Université Paris-Saclay</t>
        </is>
      </c>
      <c r="B778" s="4" t="inlineStr">
        <is>
          <t>English-test waiver (English-medium degree)</t>
        </is>
      </c>
      <c r="C778" s="4" t="inlineStr">
        <is>
          <t>Not stated</t>
        </is>
      </c>
      <c r="D778" s="4" t="inlineStr">
        <is>
          <t>No English-test rule stated; EDPIF auditions may be given in English or French</t>
        </is>
      </c>
      <c r="E778" s="4" t="inlineStr">
        <is>
          <t>Candidates may speak in English or French, as they wish.</t>
        </is>
      </c>
      <c r="F778" s="4" t="inlineStr">
        <is>
          <t>https://www.universite-paris-saclay.fr/en/phd-program-physics-graduate-school-physics</t>
        </is>
      </c>
      <c r="G778" s="4" t="inlineStr"/>
      <c r="H778" s="4" t="inlineStr">
        <is>
          <t>2026-10-21</t>
        </is>
      </c>
    </row>
    <row r="779">
      <c r="A779" s="4" t="inlineStr">
        <is>
          <t>Université Paris-Saclay</t>
        </is>
      </c>
      <c r="B779" s="4" t="inlineStr">
        <is>
          <t>Supervisor before admission</t>
        </is>
      </c>
      <c r="C779" s="4" t="inlineStr">
        <is>
          <t>Required</t>
        </is>
      </c>
      <c r="D779" s="4" t="inlineStr">
        <is>
          <t>You need a thesis topic and the thesis director's agreement before applying; the director and lab head must give favourable opinions on ADUM</t>
        </is>
      </c>
      <c r="E779" s="4" t="inlineStr">
        <is>
          <t>The student must hold a Master's degree (or equivalent) and have the agreement of the thesis director.  ||  Obtain a favourable opinion from the thesis director | Obtain a favourable opinion from the research or team unit director (https://www.universite-paris-saclay.fr/en/recherche/doctorat-et-hdr/what-framework-my-phd)</t>
        </is>
      </c>
      <c r="F779" s="4" t="inlineStr">
        <is>
          <t>https://www.universite-paris-saclay.fr/en/phd-program-physics-graduate-school-physics</t>
        </is>
      </c>
      <c r="G779" s="4" t="inlineStr"/>
      <c r="H779" s="4" t="inlineStr">
        <is>
          <t>2026-10-21</t>
        </is>
      </c>
    </row>
    <row r="780">
      <c r="A780" s="4" t="inlineStr">
        <is>
          <t>Université Paris-Saclay</t>
        </is>
      </c>
      <c r="B780" s="4" t="inlineStr">
        <is>
          <t>PhD funding</t>
        </is>
      </c>
      <c r="C780" s="4" t="inlineStr">
        <is>
          <t>Guaranteed</t>
        </is>
      </c>
      <c r="D780" s="4" t="inlineStr">
        <is>
          <t>Students admitted to the programme get a 3-year salaried public doctoral contract. Contracts are limited and awarded by each doctoral school's competition (file review + audition); every PhD application must include funding or proof of financial means.</t>
        </is>
      </c>
      <c r="E780" s="4" t="inlineStr">
        <is>
          <t>PhD students admitted to the Phd program will have a public law doctoral contract. The duration of the contract is 3 years.  ||  A first jury of the competition (beginning of June) reviews the applications, and is likely to attribute at most 1/3 of the available doctoral contracts. (https://www.universite-paris-saclay.fr/en/phd-program-physics-graduate-school-physics)  ||  A proposed funding or a proof that the material and financial conditions necessary for the successful completion of the doctoral thesis (https://www.universite-paris-saclay.fr/en/recherche/doctorat-et-hdr/what-framework-my-phd)</t>
        </is>
      </c>
      <c r="F780" s="4" t="inlineStr">
        <is>
          <t>https://www.universite-paris-saclay.fr/en/phd-program-physics-graduate-school-physics</t>
        </is>
      </c>
      <c r="G780" s="4" t="inlineStr"/>
      <c r="H780" s="4" t="inlineStr">
        <is>
          <t>2026-10-21</t>
        </is>
      </c>
    </row>
    <row r="781">
      <c r="A781" s="4" t="inlineStr">
        <is>
          <t>Université Paris-Saclay</t>
        </is>
      </c>
      <c r="B781" s="4" t="inlineStr">
        <is>
          <t>Entry route</t>
        </is>
      </c>
      <c r="C781" s="4" t="inlineStr">
        <is>
          <t>Master's usually required</t>
        </is>
      </c>
      <c r="D781" s="4" t="inlineStr">
        <is>
          <t>Master's degree (or equivalent) required; M1 and M2 results are evaluation criteria</t>
        </is>
      </c>
      <c r="E781" s="4" t="inlineStr">
        <is>
          <t>The student must hold a Master's degree (or equivalent) and have the agreement of the thesis director. | the results obtained by the candidate in the Master's program (M1 and M2)</t>
        </is>
      </c>
      <c r="F781" s="4" t="inlineStr">
        <is>
          <t>https://www.universite-paris-saclay.fr/en/phd-program-physics-graduate-school-physics</t>
        </is>
      </c>
      <c r="G781" s="4" t="inlineStr"/>
      <c r="H781" s="4" t="inlineStr">
        <is>
          <t>2026-10-21</t>
        </is>
      </c>
    </row>
    <row r="782">
      <c r="A782" s="4" t="inlineStr">
        <is>
          <t>Uppsala University</t>
        </is>
      </c>
      <c r="B782" s="4" t="inlineStr">
        <is>
          <t>Deadline (2027 entry)</t>
        </is>
      </c>
      <c r="C782" s="4" t="inlineStr">
        <is>
          <t>Per position</t>
        </is>
      </c>
      <c r="D782" s="4" t="inlineStr">
        <is>
          <t>No common call or admission date: departments advertise positions continuously during the year, each open for at least three weeks before its deadline</t>
        </is>
      </c>
      <c r="E782" s="4" t="inlineStr">
        <is>
          <t>The faculty has no common call or admission date, but calls are made continuously during the year. | The announcement shall be available locally and on the university's website at least three weeks before the application deadline  ||  Rather than apply for a doctoral programme, candidates must apply for an available doctoral position. (https://www.uu.se/en/research/phd-studies)</t>
        </is>
      </c>
      <c r="F782" s="4" t="inlineStr">
        <is>
          <t>https://www.uu.se/en/department/physics-and-astronomy/study/phd-studies</t>
        </is>
      </c>
      <c r="G782" s="4" t="inlineStr"/>
      <c r="H782" s="4" t="inlineStr">
        <is>
          <t>2026-10-21</t>
        </is>
      </c>
    </row>
    <row r="783">
      <c r="A783" s="4" t="inlineStr">
        <is>
          <t>Uppsala University</t>
        </is>
      </c>
      <c r="B783" s="4" t="inlineStr">
        <is>
          <t>Application fee</t>
        </is>
      </c>
      <c r="C783" s="4" t="inlineStr">
        <is>
          <t>0 (no fee)</t>
        </is>
      </c>
      <c r="D783" s="4" t="inlineStr">
        <is>
          <t>No application or tuition fee for the PhD programme, whatever your citizenship</t>
        </is>
      </c>
      <c r="E783" s="4" t="inlineStr">
        <is>
          <t>Application and tuition fees for PhD students | PhD programmes are free of charge in Sweden, regardless of citizenship.</t>
        </is>
      </c>
      <c r="F783" s="4" t="inlineStr">
        <is>
          <t>https://www.uu.se/en/research/phd-studies</t>
        </is>
      </c>
      <c r="G783" s="4" t="inlineStr"/>
      <c r="H783" s="4" t="inlineStr">
        <is>
          <t>2026-10-21</t>
        </is>
      </c>
    </row>
    <row r="784">
      <c r="A784" s="4" t="inlineStr">
        <is>
          <t>Uppsala University</t>
        </is>
      </c>
      <c r="B784" s="4" t="inlineStr">
        <is>
          <t>Intl fee waiver</t>
        </is>
      </c>
      <c r="C784" s="4" t="inlineStr">
        <is>
          <t>No fee</t>
        </is>
      </c>
      <c r="D784" s="4" t="inlineStr">
        <is>
          <t>No fee to waive</t>
        </is>
      </c>
      <c r="E784" s="4" t="inlineStr">
        <is>
          <t>PhD programmes are free of charge in Sweden, regardless of citizenship.</t>
        </is>
      </c>
      <c r="F784" s="4" t="inlineStr">
        <is>
          <t>https://www.uu.se/en/research/phd-studies</t>
        </is>
      </c>
      <c r="G784" s="4" t="inlineStr"/>
      <c r="H784" s="4" t="inlineStr">
        <is>
          <t>2026-10-21</t>
        </is>
      </c>
    </row>
    <row r="785">
      <c r="A785" s="4" t="inlineStr">
        <is>
          <t>Uppsala University</t>
        </is>
      </c>
      <c r="B785" s="4" t="inlineStr">
        <is>
          <t>GRE General</t>
        </is>
      </c>
      <c r="C785" s="4" t="inlineStr">
        <is>
          <t>Not stated</t>
        </is>
      </c>
      <c r="D785" s="4" t="inlineStr">
        <is>
          <t>Not stated on the page checked</t>
        </is>
      </c>
      <c r="E785" s="4" t="inlineStr">
        <is>
          <t>(no statement found)</t>
        </is>
      </c>
      <c r="F785" s="4" t="inlineStr">
        <is>
          <t>https://www.uu.se/en/department/physics-and-astronomy/study/phd-studies</t>
        </is>
      </c>
      <c r="G785" s="4" t="inlineStr"/>
      <c r="H785" s="4" t="inlineStr">
        <is>
          <t>2026-10-21</t>
        </is>
      </c>
    </row>
    <row r="786">
      <c r="A786" s="4" t="inlineStr">
        <is>
          <t>Uppsala University</t>
        </is>
      </c>
      <c r="B786" s="4" t="inlineStr">
        <is>
          <t>Physics GRE</t>
        </is>
      </c>
      <c r="C786" s="4" t="inlineStr">
        <is>
          <t>Not stated</t>
        </is>
      </c>
      <c r="D786" s="4" t="inlineStr">
        <is>
          <t>Not stated on the page checked</t>
        </is>
      </c>
      <c r="E786" s="4" t="inlineStr">
        <is>
          <t>(no statement found)</t>
        </is>
      </c>
      <c r="F786" s="4" t="inlineStr">
        <is>
          <t>https://www.uu.se/en/department/physics-and-astronomy/study/phd-studies</t>
        </is>
      </c>
      <c r="G786" s="4" t="inlineStr"/>
      <c r="H786" s="4" t="inlineStr">
        <is>
          <t>2026-10-21</t>
        </is>
      </c>
    </row>
    <row r="787">
      <c r="A787" s="4" t="inlineStr">
        <is>
          <t>Uppsala University</t>
        </is>
      </c>
      <c r="B787" s="4" t="inlineStr">
        <is>
          <t>TOEFL minimum</t>
        </is>
      </c>
      <c r="C787" s="4" t="inlineStr">
        <is>
          <t>Not stated</t>
        </is>
      </c>
      <c r="D787" s="4" t="inlineStr">
        <is>
          <t>Not stated on the pages checked</t>
        </is>
      </c>
      <c r="E787" s="4" t="inlineStr">
        <is>
          <t>(no statement found)</t>
        </is>
      </c>
      <c r="F787" s="4" t="inlineStr">
        <is>
          <t>https://www.uu.se/en/department/physics-and-astronomy/study/phd-studies</t>
        </is>
      </c>
      <c r="G787" s="4" t="inlineStr"/>
      <c r="H787" s="4" t="inlineStr">
        <is>
          <t>2026-10-21</t>
        </is>
      </c>
    </row>
    <row r="788">
      <c r="A788" s="4" t="inlineStr">
        <is>
          <t>Uppsala University</t>
        </is>
      </c>
      <c r="B788" s="4" t="inlineStr">
        <is>
          <t>English-test waiver (English-medium degree)</t>
        </is>
      </c>
      <c r="C788" s="4" t="inlineStr">
        <is>
          <t>Not stated</t>
        </is>
      </c>
      <c r="D788" s="4" t="inlineStr">
        <is>
          <t>Not stated on the pages checked</t>
        </is>
      </c>
      <c r="E788" s="4" t="inlineStr">
        <is>
          <t>(no statement found)</t>
        </is>
      </c>
      <c r="F788" s="4" t="inlineStr">
        <is>
          <t>https://www.uu.se/en/department/physics-and-astronomy/study/phd-studies</t>
        </is>
      </c>
      <c r="G788" s="4" t="inlineStr"/>
      <c r="H788" s="4" t="inlineStr">
        <is>
          <t>2026-10-21</t>
        </is>
      </c>
    </row>
    <row r="789">
      <c r="A789" s="4" t="inlineStr">
        <is>
          <t>Uppsala University</t>
        </is>
      </c>
      <c r="B789" s="4" t="inlineStr">
        <is>
          <t>Supervisor before admission</t>
        </is>
      </c>
      <c r="C789" s="4" t="inlineStr">
        <is>
          <t>Required</t>
        </is>
      </c>
      <c r="D789" s="4" t="inlineStr">
        <is>
          <t>Admission is decided after consultation with the supervisors, who normally set the main structure of the research project at admission</t>
        </is>
      </c>
      <c r="E789" s="4" t="inlineStr">
        <is>
          <t>Admission is decided after consultation with the supervisors at the department/division. Normally, the supervisors formulate the main structure of the research project in connection with the admission.</t>
        </is>
      </c>
      <c r="F789" s="4" t="inlineStr">
        <is>
          <t>https://www.uu.se/en/department/physics-and-astronomy/study/phd-studies</t>
        </is>
      </c>
      <c r="G789" s="4" t="inlineStr"/>
      <c r="H789" s="4" t="inlineStr">
        <is>
          <t>2026-10-21</t>
        </is>
      </c>
    </row>
    <row r="790">
      <c r="A790" s="4" t="inlineStr">
        <is>
          <t>Uppsala University</t>
        </is>
      </c>
      <c r="B790" s="4" t="inlineStr">
        <is>
          <t>PhD funding</t>
        </is>
      </c>
      <c r="C790" s="4" t="inlineStr">
        <is>
          <t>Guaranteed</t>
        </is>
      </c>
      <c r="D790" s="4" t="inlineStr">
        <is>
          <t>On admission the department commits to four years of full-time funding, normally as an employed doctoral student. Scholarships are used restrictively and must be topped up to the employed-student level</t>
        </is>
      </c>
      <c r="E790" s="4" t="inlineStr">
        <is>
          <t>All doctoral students must have adequate means of support throughout their studies. When admitting doctoral students, the department therefore undertakes to provide funding for four years of full-time study at doctoral level. | The primary means of support for doctoral students awarded admission is employment as a doctoral student (a doctoral studentship). | The Faculty Board has decided that scholarships are to be used restrictively. | The department must ensure that a doctoral student funded by a scholarship is in a net financial position that at least matches that of a doctoral student employed by the University  ||  Uppsala University, like most universities in Sweden, regards PhD students as employees. (https://www.uu.se/en/research/phd-studies)</t>
        </is>
      </c>
      <c r="F790" s="4" t="inlineStr">
        <is>
          <t>https://www.uu.se/en/staff/faculty/science-and-technology/education-and-teaching/doctoral-studies/funding</t>
        </is>
      </c>
      <c r="G790" s="4" t="inlineStr"/>
      <c r="H790" s="4" t="inlineStr">
        <is>
          <t>2026-10-21</t>
        </is>
      </c>
    </row>
    <row r="791">
      <c r="A791" s="4" t="inlineStr">
        <is>
          <t>Uppsala University</t>
        </is>
      </c>
      <c r="B791" s="4" t="inlineStr">
        <is>
          <t>Entry route</t>
        </is>
      </c>
      <c r="C791" s="4" t="inlineStr">
        <is>
          <t>Master's usually required</t>
        </is>
      </c>
      <c r="D791" s="4" t="inlineStr">
        <is>
          <t>A second-cycle (master's) degree, or 240 credits with at least 60 at second-cycle level including a 15-credit independent project; Physics also requires at least 90 credits in physics or related courses</t>
        </is>
      </c>
      <c r="E791" s="4" t="inlineStr">
        <is>
          <t>General entry requirements correspond to a degree at second-cycle level, or 240 credits (of which at least 60 credits at second-cycle level including an independent project of at least 15 credits), or otherwise acquired equivalent knowledge.  ||  A person meets the special eligibility requirements for doctoral studies in Physics if she/he has passed examinations in courses in Physics or in courses in areas of relevance to Physics, covering a minimum of 90 higher education credits (https://www.uu.se/en/staff/faculty/science-and-technology/education-and-teaching/doctoral-studies/subjects-and-study-plans/subjects/physics)</t>
        </is>
      </c>
      <c r="F791" s="4" t="inlineStr">
        <is>
          <t>https://www.uu.se/en/disciplinary-domain/science-and-technology/study/doctoral-studies</t>
        </is>
      </c>
      <c r="G791" s="4" t="inlineStr"/>
      <c r="H791" s="4" t="inlineStr">
        <is>
          <t>2026-10-21</t>
        </is>
      </c>
    </row>
    <row r="792">
      <c r="A792" s="4" t="inlineStr">
        <is>
          <t>Vanderbilt University</t>
        </is>
      </c>
      <c r="B792" s="4" t="inlineStr">
        <is>
          <t>Deadline (2027 entry)</t>
        </is>
      </c>
      <c r="C792" s="4" t="inlineStr">
        <is>
          <t>2026-12-01</t>
        </is>
      </c>
      <c r="D792" s="4" t="inlineStr">
        <is>
          <t>December 1, 2026 for Fall 2027 (applications open August 1, 2026)</t>
        </is>
      </c>
      <c r="E792" s="4" t="inlineStr">
        <is>
          <t>Applications for fall 2027 open on August 1, 2026 and must be submitted through the Graduate School Application Portal. The application deadline is December 1. | Finalize and submit your entire application by December 1, 2026.</t>
        </is>
      </c>
      <c r="F792" s="4" t="inlineStr">
        <is>
          <t>https://as.vanderbilt.edu/physics-astronomy/phd-physics-admissions/</t>
        </is>
      </c>
      <c r="G792" s="4" t="inlineStr"/>
      <c r="H792" s="4" t="inlineStr">
        <is>
          <t>2026-10-21</t>
        </is>
      </c>
    </row>
    <row r="793">
      <c r="A793" s="4" t="inlineStr">
        <is>
          <t>Vanderbilt University</t>
        </is>
      </c>
      <c r="B793" s="4" t="inlineStr">
        <is>
          <t>Application fee</t>
        </is>
      </c>
      <c r="C793" s="4" t="inlineStr">
        <is>
          <t>95 USD</t>
        </is>
      </c>
      <c r="D793" s="4" t="inlineStr">
        <is>
          <t>USD 95 Graduate School fee; one fee covers up to two programs</t>
        </is>
      </c>
      <c r="E793" s="4" t="inlineStr">
        <is>
          <t>The Graduate School application fee is $95.00 and can be paid online after you submit your application.</t>
        </is>
      </c>
      <c r="F793" s="4" t="inlineStr">
        <is>
          <t>https://gradschool.vanderbilt.edu/application-requirements/</t>
        </is>
      </c>
      <c r="G793" s="4" t="inlineStr"/>
      <c r="H793" s="4" t="inlineStr">
        <is>
          <t>2026-10-21</t>
        </is>
      </c>
    </row>
    <row r="794">
      <c r="A794" s="4" t="inlineStr">
        <is>
          <t>Vanderbilt University</t>
        </is>
      </c>
      <c r="B794" s="4" t="inlineStr">
        <is>
          <t>Intl fee waiver</t>
        </is>
      </c>
      <c r="C794" s="4" t="inlineStr">
        <is>
          <t>Limited</t>
        </is>
      </c>
      <c r="D794" s="4" t="inlineStr">
        <is>
          <t>Internationals only eligible for a discretionary department waiver; Physics grants a small number (rolling from late October), requested by email after submitting and before the deadline</t>
        </is>
      </c>
      <c r="E794" s="4" t="inlineStr">
        <is>
          <t>International students are only eligible to receive a discretionary fee waiver from their department of interest.  ||  We have a limited number of fee waivers to grant and they will be granted starting around late October on a rolling basis. (https://as.vanderbilt.edu/physics-astronomy/phd-physics-admissions/)</t>
        </is>
      </c>
      <c r="F794" s="4" t="inlineStr">
        <is>
          <t>https://gradschool.vanderbilt.edu/application-requirements/</t>
        </is>
      </c>
      <c r="G794" s="4" t="inlineStr"/>
      <c r="H794" s="4" t="inlineStr">
        <is>
          <t>2026-10-21</t>
        </is>
      </c>
    </row>
    <row r="795">
      <c r="A795" s="4" t="inlineStr">
        <is>
          <t>Vanderbilt University</t>
        </is>
      </c>
      <c r="B795" s="4" t="inlineStr">
        <is>
          <t>GRE General</t>
        </is>
      </c>
      <c r="C795" s="4" t="inlineStr">
        <is>
          <t>Not considered</t>
        </is>
      </c>
      <c r="D795" s="4" t="inlineStr">
        <is>
          <t>Do not submit GRE; not required and will not be considered</t>
        </is>
      </c>
      <c r="E795" s="4" t="inlineStr">
        <is>
          <t>Do not submit GRE scores (General nor Subject). They are not required and will not be considered.</t>
        </is>
      </c>
      <c r="F795" s="4" t="inlineStr">
        <is>
          <t>https://as.vanderbilt.edu/physics-astronomy/phd-physics-admissions/</t>
        </is>
      </c>
      <c r="G795" s="4" t="inlineStr"/>
      <c r="H795" s="4" t="inlineStr">
        <is>
          <t>2026-10-21</t>
        </is>
      </c>
    </row>
    <row r="796">
      <c r="A796" s="4" t="inlineStr">
        <is>
          <t>Vanderbilt University</t>
        </is>
      </c>
      <c r="B796" s="4" t="inlineStr">
        <is>
          <t>Physics GRE</t>
        </is>
      </c>
      <c r="C796" s="4" t="inlineStr">
        <is>
          <t>Not considered</t>
        </is>
      </c>
      <c r="D796" s="4" t="inlineStr">
        <is>
          <t>Do not submit Physics GRE; not required and will not be considered</t>
        </is>
      </c>
      <c r="E796" s="4" t="inlineStr">
        <is>
          <t>Do not submit GRE scores (General nor Subject). They are not required and will not be considered.</t>
        </is>
      </c>
      <c r="F796" s="4" t="inlineStr">
        <is>
          <t>https://as.vanderbilt.edu/physics-astronomy/phd-physics-admissions/</t>
        </is>
      </c>
      <c r="G796" s="4" t="inlineStr"/>
      <c r="H796" s="4" t="inlineStr">
        <is>
          <t>2026-10-21</t>
        </is>
      </c>
    </row>
    <row r="797">
      <c r="A797" s="4" t="inlineStr">
        <is>
          <t>Vanderbilt University</t>
        </is>
      </c>
      <c r="B797" s="4" t="inlineStr">
        <is>
          <t>TOEFL minimum</t>
        </is>
      </c>
      <c r="C797" s="4" t="inlineStr">
        <is>
          <t>89</t>
        </is>
      </c>
      <c r="D797" s="4" t="inlineStr">
        <is>
          <t>TOEFL iBT 89 (Graduate School minimum; departments may require more); Duolingo 130; IELTS varies (7.0 desirable)</t>
        </is>
      </c>
      <c r="E797" s="4" t="inlineStr">
        <is>
          <t>The minimum acceptable score on the TOEFL iBT (internet- based test) is 89.</t>
        </is>
      </c>
      <c r="F797" s="4" t="inlineStr">
        <is>
          <t>https://gradschool.vanderbilt.edu/application-requirements/</t>
        </is>
      </c>
      <c r="G797" s="4" t="inlineStr"/>
      <c r="H797" s="4" t="inlineStr">
        <is>
          <t>2026-10-21</t>
        </is>
      </c>
    </row>
    <row r="798">
      <c r="A798" s="4" t="inlineStr">
        <is>
          <t>Vanderbilt University</t>
        </is>
      </c>
      <c r="B798" s="4" t="inlineStr">
        <is>
          <t>English-test waiver (English-medium degree)</t>
        </is>
      </c>
      <c r="C798" s="4" t="inlineStr">
        <is>
          <t>Conditional</t>
        </is>
      </c>
      <c r="D798" s="4" t="inlineStr">
        <is>
          <t>Waived if the entire bachelor's was taught in English in a country with multiple official languages including English (India's case), with proof: Registrar/Controller of Examinations MOI letter, or transcript/mark sheet stating English medium. Graduate School summary also lists India among English-language university countries.</t>
        </is>
      </c>
      <c r="E798" s="4" t="inlineStr">
        <is>
          <t>The language of instruction was English for the entirety of your bachelor’s degree program and the country has multiple official languages, including English. | An official or attested letter issued by the institution’s Registrar, Controller of Examinations, or equivalent central academic records office confirming that English was the language of instruction for the entirety of the applicant’s degree program.  ||  you (will) have an equivalent degree from an English-language university in United Kingdom, Ireland, Australia, Nigeria, Ghana, India, New Zealand, and Canada (except Quebec). (https://gradschool.vanderbilt.edu/application-requirements/)</t>
        </is>
      </c>
      <c r="F798" s="4" t="inlineStr">
        <is>
          <t>https://gradschool.vanderbilt.edu/application-requirements/</t>
        </is>
      </c>
      <c r="G798" s="4" t="inlineStr"/>
      <c r="H798" s="4" t="inlineStr">
        <is>
          <t>2026-10-21</t>
        </is>
      </c>
    </row>
    <row r="799">
      <c r="A799" s="4" t="inlineStr">
        <is>
          <t>Vanderbilt University</t>
        </is>
      </c>
      <c r="B799" s="4" t="inlineStr">
        <is>
          <t>Supervisor before admission</t>
        </is>
      </c>
      <c r="C799" s="4" t="inlineStr">
        <is>
          <t>Not stated</t>
        </is>
      </c>
      <c r="D799" s="4" t="inlineStr">
        <is>
          <t>Not stated on the page checked</t>
        </is>
      </c>
      <c r="E799" s="4" t="inlineStr">
        <is>
          <t>(no statement found)</t>
        </is>
      </c>
      <c r="F799" s="4" t="inlineStr">
        <is>
          <t>https://as.vanderbilt.edu/physics-astronomy/phd-physics-admissions/</t>
        </is>
      </c>
      <c r="G799" s="4" t="inlineStr"/>
      <c r="H799" s="4" t="inlineStr">
        <is>
          <t>2026-10-21</t>
        </is>
      </c>
    </row>
    <row r="800">
      <c r="A800" s="4" t="inlineStr">
        <is>
          <t>Vanderbilt University</t>
        </is>
      </c>
      <c r="B800" s="4" t="inlineStr">
        <is>
          <t>PhD funding</t>
        </is>
      </c>
      <c r="C800" s="4" t="inlineStr">
        <is>
          <t>Guaranteed</t>
        </is>
      </c>
      <c r="D800" s="4" t="inlineStr">
        <is>
          <t>Students receive a five-year support package: full tuition waiver, health insurance, stipend (currently $36,500/yr)</t>
        </is>
      </c>
      <c r="E800" s="4" t="inlineStr">
        <is>
          <t>Students receive: | A five-year package of support with a full tuition waiver | Competitive stipends (currently $36,500 per year)</t>
        </is>
      </c>
      <c r="F800" s="4" t="inlineStr">
        <is>
          <t>https://as.vanderbilt.edu/physics-astronomy/phd-physics-admissions/</t>
        </is>
      </c>
      <c r="G800" s="4" t="inlineStr"/>
      <c r="H800" s="4" t="inlineStr">
        <is>
          <t>2026-10-21</t>
        </is>
      </c>
    </row>
    <row r="801">
      <c r="A801" s="4" t="inlineStr">
        <is>
          <t>Vanderbilt University</t>
        </is>
      </c>
      <c r="B801" s="4" t="inlineStr">
        <is>
          <t>Entry route</t>
        </is>
      </c>
      <c r="C801" s="4" t="inlineStr">
        <is>
          <t>Not stated</t>
        </is>
      </c>
      <c r="D801" s="4" t="inlineStr">
        <is>
          <t>Not stated on the page checked</t>
        </is>
      </c>
      <c r="E801" s="4" t="inlineStr">
        <is>
          <t>(no statement found)</t>
        </is>
      </c>
      <c r="F801" s="4" t="inlineStr">
        <is>
          <t>https://as.vanderbilt.edu/physics-astronomy/phd-physics-admissions/</t>
        </is>
      </c>
      <c r="G801" s="4" t="inlineStr"/>
      <c r="H801" s="4" t="inlineStr">
        <is>
          <t>2026-10-21</t>
        </is>
      </c>
    </row>
    <row r="802">
      <c r="A802" s="4" t="inlineStr">
        <is>
          <t>Western University</t>
        </is>
      </c>
      <c r="B802" s="4" t="inlineStr">
        <is>
          <t>Deadline (2027 entry)</t>
        </is>
      </c>
      <c r="C802" s="4" t="inlineStr">
        <is>
          <t>2027-03-01</t>
        </is>
      </c>
      <c r="D802" s="4" t="inlineStr">
        <is>
          <t>International applicants: March 1, 2027, including reference letters and transcripts. Applications are reviewed first-come, first-served with rolling offers, so applying early helps. (Domestic: up to August 30/31.)</t>
        </is>
      </c>
      <c r="E802" s="4" t="inlineStr">
        <is>
          <t>International Students: March 1, 2027, including the receipt of reference letters and transcripts. | Applications to our programs are vetted first-come, first-served, and admission offers are sent out on a rolling basis  ||  INTERNATIONAL | March 1 | for September Admission (https://www.physics.uwo.ca/graduate/future_students/how_to_apply.html)</t>
        </is>
      </c>
      <c r="F802" s="4" t="inlineStr">
        <is>
          <t>https://www.physics.uwo.ca/graduate/future_students/admission_requirements.html</t>
        </is>
      </c>
      <c r="G802" s="4" t="inlineStr"/>
      <c r="H802" s="4" t="inlineStr">
        <is>
          <t>2026-10-21</t>
        </is>
      </c>
    </row>
    <row r="803">
      <c r="A803" s="4" t="inlineStr">
        <is>
          <t>Western University</t>
        </is>
      </c>
      <c r="B803" s="4" t="inlineStr">
        <is>
          <t>Application fee</t>
        </is>
      </c>
      <c r="C803" s="4" t="inlineStr">
        <is>
          <t>185 CAD</t>
        </is>
      </c>
      <c r="D803" s="4" t="inlineStr">
        <is>
          <t>CAD 185, non-refundable (SGPS standard fee; may differ for some programs). Physics &amp; Astronomy refunds the fee to admitted students who accept and enrol, after their first month.</t>
        </is>
      </c>
      <c r="E803" s="4" t="inlineStr">
        <is>
          <t>$185 CAD Non-refundable | The application fee amount may be different for certain graduate programs.  ||  Students who are admitted to the Physics and Astronomy Graduate Program and accept our Admission Offer will be refunded their application fee at the end of their first month in the program. (https://www.physics.uwo.ca/graduate/future_students/how_to_apply.html)</t>
        </is>
      </c>
      <c r="F803" s="4" t="inlineStr">
        <is>
          <t>https://grad.uwo.ca/admissions/apply-for-admission/index.cfm</t>
        </is>
      </c>
      <c r="G803" s="4" t="inlineStr"/>
      <c r="H803" s="4" t="inlineStr">
        <is>
          <t>2026-10-21</t>
        </is>
      </c>
    </row>
    <row r="804">
      <c r="A804" s="4" t="inlineStr">
        <is>
          <t>Western University</t>
        </is>
      </c>
      <c r="B804" s="4" t="inlineStr">
        <is>
          <t>Intl fee waiver</t>
        </is>
      </c>
      <c r="C804" s="4" t="inlineStr">
        <is>
          <t>Not stated</t>
        </is>
      </c>
      <c r="D804" s="4" t="inlineStr">
        <is>
          <t>Not stated on the page checked</t>
        </is>
      </c>
      <c r="E804" s="4" t="inlineStr">
        <is>
          <t>(no statement found)</t>
        </is>
      </c>
      <c r="F804" s="4" t="inlineStr">
        <is>
          <t>https://grad.uwo.ca/admissions/apply-for-admission/index.cfm</t>
        </is>
      </c>
      <c r="G804" s="4" t="inlineStr"/>
      <c r="H804" s="4" t="inlineStr">
        <is>
          <t>2026-10-21</t>
        </is>
      </c>
    </row>
    <row r="805">
      <c r="A805" s="4" t="inlineStr">
        <is>
          <t>Western University</t>
        </is>
      </c>
      <c r="B805" s="4" t="inlineStr">
        <is>
          <t>GRE General</t>
        </is>
      </c>
      <c r="C805" s="4" t="inlineStr">
        <is>
          <t>Not required</t>
        </is>
      </c>
      <c r="D805" s="4" t="inlineStr">
        <is>
          <t>GRE not required</t>
        </is>
      </c>
      <c r="E805" s="4" t="inlineStr">
        <is>
          <t>Applicants to our program are not required to take the Graduate Record Exam (GRE).</t>
        </is>
      </c>
      <c r="F805" s="4" t="inlineStr">
        <is>
          <t>https://www.physics.uwo.ca/graduate/future_students/admission_requirements.html</t>
        </is>
      </c>
      <c r="G805" s="4" t="inlineStr"/>
      <c r="H805" s="4" t="inlineStr">
        <is>
          <t>2026-10-21</t>
        </is>
      </c>
    </row>
    <row r="806">
      <c r="A806" s="4" t="inlineStr">
        <is>
          <t>Western University</t>
        </is>
      </c>
      <c r="B806" s="4" t="inlineStr">
        <is>
          <t>Physics GRE</t>
        </is>
      </c>
      <c r="C806" s="4" t="inlineStr">
        <is>
          <t>Recommended</t>
        </is>
      </c>
      <c r="D806" s="4" t="inlineStr">
        <is>
          <t>International applicants (and those with offshore or engineering degrees) are strongly urged to take the Physics GRE; upper-third scores are a decided advantage</t>
        </is>
      </c>
      <c r="E806" s="4" t="inlineStr">
        <is>
          <t>However, International students and domestic students with degrees from offshore Universities or Engineering degrees are strongly urged to write the GRE-Physics examination. | Students who receive a mark with a rank in the upper third of those sitting the exam will be at a decided advantage</t>
        </is>
      </c>
      <c r="F806" s="4" t="inlineStr">
        <is>
          <t>https://www.physics.uwo.ca/graduate/future_students/admission_requirements.html</t>
        </is>
      </c>
      <c r="G806" s="4" t="inlineStr">
        <is>
          <t>international applicants</t>
        </is>
      </c>
      <c r="H806" s="4" t="inlineStr">
        <is>
          <t>2026-10-21</t>
        </is>
      </c>
    </row>
    <row r="807">
      <c r="A807" s="4" t="inlineStr">
        <is>
          <t>Western University</t>
        </is>
      </c>
      <c r="B807" s="4" t="inlineStr">
        <is>
          <t>TOEFL minimum</t>
        </is>
      </c>
      <c r="C807" s="4" t="inlineStr">
        <is>
          <t>90</t>
        </is>
      </c>
      <c r="D807" s="4" t="inlineStr">
        <is>
          <t>Department minimum TOEFL iBT 90 with no section below 22 (higher than the SGPS minimum of 86); IELTS 7; Duolingo 130</t>
        </is>
      </c>
      <c r="E807" s="4" t="inlineStr">
        <is>
          <t>The minimum acceptable score is 90, with no individual score below 22 for the internet-based version | The minimum acceptable overall score is 7 out of 9. | The minimum acceptable score is 130.</t>
        </is>
      </c>
      <c r="F807" s="4" t="inlineStr">
        <is>
          <t>https://www.physics.uwo.ca/graduate/future_students/admission_requirements.html</t>
        </is>
      </c>
      <c r="G807" s="4" t="inlineStr"/>
      <c r="H807" s="4" t="inlineStr">
        <is>
          <t>2026-10-21</t>
        </is>
      </c>
    </row>
    <row r="808">
      <c r="A808" s="4" t="inlineStr">
        <is>
          <t>Western University</t>
        </is>
      </c>
      <c r="B808" s="4" t="inlineStr">
        <is>
          <t>English-test waiver (English-medium degree)</t>
        </is>
      </c>
      <c r="C808" s="4" t="inlineStr">
        <is>
          <t>No</t>
        </is>
      </c>
      <c r="D808" s="4" t="inlineStr">
        <is>
          <t>Automatic exemption only if English is your first language, or after 2+ full-time years at an English-speaking institution in a listed country whose primary language is English. India is not on the list.</t>
        </is>
      </c>
      <c r="E808" s="4" t="inlineStr">
        <is>
          <t>Applicants are automatically exempted from our English language proficiency requirement if either: | They have completed at least two full-time years of post-secondary education in a degree program in an English-speaking institution located in a country whose primary language is English. | The list of eligible countries is as follows:</t>
        </is>
      </c>
      <c r="F808" s="4" t="inlineStr">
        <is>
          <t>https://grad.uwo.ca/admissions/international/index.html</t>
        </is>
      </c>
      <c r="G808" s="4" t="inlineStr"/>
      <c r="H808" s="4" t="inlineStr">
        <is>
          <t>2026-10-21</t>
        </is>
      </c>
    </row>
    <row r="809">
      <c r="A809" s="4" t="inlineStr">
        <is>
          <t>Western University</t>
        </is>
      </c>
      <c r="B809" s="4" t="inlineStr">
        <is>
          <t>Supervisor before admission</t>
        </is>
      </c>
      <c r="C809" s="4" t="inlineStr">
        <is>
          <t>Required</t>
        </is>
      </c>
      <c r="D809" s="4" t="inlineStr">
        <is>
          <t>Every admission offer is made together with the student's faculty supervisor; contacting potential supervisors before applying is strongly encouraged</t>
        </is>
      </c>
      <c r="E809" s="4" t="inlineStr">
        <is>
          <t>All admission offers to our Department are made in conjunction with the student's faculty supervisor. Interested students are strongly encouraged to contact potential supervisors in advance of their application.</t>
        </is>
      </c>
      <c r="F809" s="4" t="inlineStr">
        <is>
          <t>https://www.physics.uwo.ca/graduate/future_students/how_to_apply.html</t>
        </is>
      </c>
      <c r="G809" s="4" t="inlineStr"/>
      <c r="H809" s="4" t="inlineStr">
        <is>
          <t>2026-10-21</t>
        </is>
      </c>
    </row>
    <row r="810">
      <c r="A810" s="4" t="inlineStr">
        <is>
          <t>Western University</t>
        </is>
      </c>
      <c r="B810" s="4" t="inlineStr">
        <is>
          <t>PhD funding</t>
        </is>
      </c>
      <c r="C810" s="4" t="inlineStr">
        <is>
          <t>Guaranteed</t>
        </is>
      </c>
      <c r="D810" s="4" t="inlineStr">
        <is>
          <t>All MSc and PhD students receive a funding package covering living expenses and tuition (scholarship, fellowship and TA); no minimum amount is stated on the page (2026-27 stipend examples are in a linked PDF)</t>
        </is>
      </c>
      <c r="E810" s="4" t="inlineStr">
        <is>
          <t>All MSc and PhD graduate students are provided with competitive funding support packages for both living expenses and tuition costs.</t>
        </is>
      </c>
      <c r="F810" s="4" t="inlineStr">
        <is>
          <t>https://www.physics.uwo.ca/graduate/future_students/financial_info.html</t>
        </is>
      </c>
      <c r="G810" s="4" t="inlineStr"/>
      <c r="H810" s="4" t="inlineStr">
        <is>
          <t>2026-10-21</t>
        </is>
      </c>
    </row>
    <row r="811">
      <c r="A811" s="4" t="inlineStr">
        <is>
          <t>Western University</t>
        </is>
      </c>
      <c r="B811" s="4" t="inlineStr">
        <is>
          <t>Entry route</t>
        </is>
      </c>
      <c r="C811" s="4" t="inlineStr">
        <is>
          <t>Master's usually required</t>
        </is>
      </c>
      <c r="D811" s="4" t="inlineStr">
        <is>
          <t>PhD applicants must have completed an MSc (or equivalent) in physics, astronomy or engineering with at least a 70% (B) average</t>
        </is>
      </c>
      <c r="E811" s="4" t="inlineStr">
        <is>
          <t>Applicants for our PhD programs must have completed an MSc degree (or equivalent) in either Physics, Astronomy or Engineering with at least a 70% (or B) average taken over all MSc graduate courses.</t>
        </is>
      </c>
      <c r="F811" s="4" t="inlineStr">
        <is>
          <t>https://www.physics.uwo.ca/graduate/future_students/admission_requirements.html</t>
        </is>
      </c>
      <c r="G811" s="4" t="inlineStr"/>
      <c r="H811" s="4" t="inlineStr">
        <is>
          <t>2026-10-21</t>
        </is>
      </c>
    </row>
    <row r="812">
      <c r="A812" s="4" t="inlineStr">
        <is>
          <t>Yale University</t>
        </is>
      </c>
      <c r="B812" s="4" t="inlineStr">
        <is>
          <t>Deadline (2027 entry)</t>
        </is>
      </c>
      <c r="C812" s="4" t="inlineStr">
        <is>
          <t>2026-12-15</t>
        </is>
      </c>
      <c r="D812" s="4" t="inlineStr">
        <is>
          <t>December 15, 2026, 11:59 pm Eastern (GSAS lists Physics under Dec 15, 2026)</t>
        </is>
      </c>
      <c r="E812" s="4" t="inlineStr">
        <is>
          <t>The General GRE and Physics GRE scores are Optional for applications received by the December 15, 2026, submission deadline.  ||  All application deadlines are as of 11:59 pm Eastern time. (https://gsas.yale.edu/admissions/phdmasters-application-process/dates-deadlines)</t>
        </is>
      </c>
      <c r="F812" s="4" t="inlineStr">
        <is>
          <t>https://physics.yale.edu/apply</t>
        </is>
      </c>
      <c r="G812" s="4" t="inlineStr"/>
      <c r="H812" s="4" t="inlineStr">
        <is>
          <t>2026-10-21</t>
        </is>
      </c>
    </row>
    <row r="813">
      <c r="A813" s="4" t="inlineStr">
        <is>
          <t>Yale University</t>
        </is>
      </c>
      <c r="B813" s="4" t="inlineStr">
        <is>
          <t>Application fee</t>
        </is>
      </c>
      <c r="C813" s="4" t="inlineStr">
        <is>
          <t>105 USD</t>
        </is>
      </c>
      <c r="D813" s="4" t="inlineStr">
        <is>
          <t>USD 105 for all degree-seeking applicants, non-refundable</t>
        </is>
      </c>
      <c r="E813" s="4" t="inlineStr">
        <is>
          <t>The application fee for all degree-seeking applicants is US $105.00.</t>
        </is>
      </c>
      <c r="F813" s="4" t="inlineStr">
        <is>
          <t>https://gsas.yale.edu/admissions/phdmasters-application-process/application-fees-fee-waivers</t>
        </is>
      </c>
      <c r="G813" s="4" t="inlineStr"/>
      <c r="H813" s="4" t="inlineStr">
        <is>
          <t>2026-10-21</t>
        </is>
      </c>
    </row>
    <row r="814">
      <c r="A814" s="4" t="inlineStr">
        <is>
          <t>Yale University</t>
        </is>
      </c>
      <c r="B814" s="4" t="inlineStr">
        <is>
          <t>Intl fee waiver</t>
        </is>
      </c>
      <c r="C814" s="4" t="inlineStr">
        <is>
          <t>Available</t>
        </is>
      </c>
      <c r="D814" s="4" t="inlineStr">
        <is>
          <t>Non-US citizens are eligible to request; granted for listed special programs or documented financial hardship. Request separately, well before the Dec 15 deadline (form closes Jan 2).</t>
        </is>
      </c>
      <c r="E814" s="4" t="inlineStr">
        <is>
          <t>US citizens, permanent residents, and non-US citizens are all eligible to request a fee waiver. | Fee waivers may be granted on the basis of: | documented financial hardship | The final deadline to submit a fee waiver request is January 2.</t>
        </is>
      </c>
      <c r="F814" s="4" t="inlineStr">
        <is>
          <t>https://gsas.yale.edu/admissions/phdmasters-application-process/application-fees-fee-waivers</t>
        </is>
      </c>
      <c r="G814" s="4" t="inlineStr"/>
      <c r="H814" s="4" t="inlineStr">
        <is>
          <t>2026-10-21</t>
        </is>
      </c>
    </row>
    <row r="815">
      <c r="A815" s="4" t="inlineStr">
        <is>
          <t>Yale University</t>
        </is>
      </c>
      <c r="B815" s="4" t="inlineStr">
        <is>
          <t>GRE General</t>
        </is>
      </c>
      <c r="C815" s="4" t="inlineStr">
        <is>
          <t>Optional</t>
        </is>
      </c>
      <c r="D815" s="4" t="inlineStr">
        <is>
          <t>General GRE optional; no preference either way in holistic review</t>
        </is>
      </c>
      <c r="E815" s="4" t="inlineStr">
        <is>
          <t>The General GRE and Physics GRE scores are Optional for applications received by the December 15, 2026, submission deadline. All applications are reviewed holistically, and preference will not be given to students who do or do not submit GRE scores.</t>
        </is>
      </c>
      <c r="F815" s="4" t="inlineStr">
        <is>
          <t>https://physics.yale.edu/apply</t>
        </is>
      </c>
      <c r="G815" s="4" t="inlineStr"/>
      <c r="H815" s="4" t="inlineStr">
        <is>
          <t>2026-10-21</t>
        </is>
      </c>
    </row>
    <row r="816">
      <c r="A816" s="4" t="inlineStr">
        <is>
          <t>Yale University</t>
        </is>
      </c>
      <c r="B816" s="4" t="inlineStr">
        <is>
          <t>Physics GRE</t>
        </is>
      </c>
      <c r="C816" s="4" t="inlineStr">
        <is>
          <t>Optional</t>
        </is>
      </c>
      <c r="D816" s="4" t="inlineStr">
        <is>
          <t>Physics GRE optional; no preference either way in holistic review</t>
        </is>
      </c>
      <c r="E816" s="4" t="inlineStr">
        <is>
          <t>The General GRE and Physics GRE scores are Optional for applications received by the December 15, 2026, submission deadline. All applications are reviewed holistically, and preference will not be given to students who do or do not submit GRE scores.</t>
        </is>
      </c>
      <c r="F816" s="4" t="inlineStr">
        <is>
          <t>https://physics.yale.edu/apply</t>
        </is>
      </c>
      <c r="G816" s="4" t="inlineStr"/>
      <c r="H816" s="4" t="inlineStr">
        <is>
          <t>2026-10-21</t>
        </is>
      </c>
    </row>
    <row r="817">
      <c r="A817" s="4" t="inlineStr">
        <is>
          <t>Yale University</t>
        </is>
      </c>
      <c r="B817" s="4" t="inlineStr">
        <is>
          <t>TOEFL minimum</t>
        </is>
      </c>
      <c r="C817" s="4" t="inlineStr">
        <is>
          <t>Not stated</t>
        </is>
      </c>
      <c r="D817" s="4" t="inlineStr">
        <is>
          <t>No minimum score for the Physics PhD; TOEFL Speaking 25 or below (IELTS Speaking 7.5 or below) means a required summer English program before matriculation</t>
        </is>
      </c>
      <c r="E817" s="4" t="inlineStr">
        <is>
          <t>There is no minimum language requirement for the Physics PhD program. | The Graduate School does require incoming doctoral students who received a score of 25 or below on the TOEFL Speaking section or a 7.5 or below on IELTS Speaking section to participate in a Summer English Language program at Yale in August prior to matriculation.</t>
        </is>
      </c>
      <c r="F817" s="4" t="inlineStr">
        <is>
          <t>https://physics.yale.edu/prospective-graduate-student-faq</t>
        </is>
      </c>
      <c r="G817" s="4" t="inlineStr"/>
      <c r="H817" s="4" t="inlineStr">
        <is>
          <t>2026-10-21</t>
        </is>
      </c>
    </row>
    <row r="818">
      <c r="A818" s="4" t="inlineStr">
        <is>
          <t>Yale University</t>
        </is>
      </c>
      <c r="B818" s="4" t="inlineStr">
        <is>
          <t>English-test waiver (English-medium degree)</t>
        </is>
      </c>
      <c r="C818" s="4" t="inlineStr">
        <is>
          <t>Conditional</t>
        </is>
      </c>
      <c r="D818" s="4" t="inlineStr">
        <is>
          <t>Exempt with a bachelor's from an institution where English is the primary language of instruction AND at least three years in residence there; answered in the application, no separate documents; a master's or PhD does not count</t>
        </is>
      </c>
      <c r="E818" s="4" t="inlineStr">
        <is>
          <t>If you have received (or will receive) an undergraduate degree from a college or university where English is the primary language of instruction, and if you have studied in residence at that institution for at least three years, you are exempt from the English Language Test requirement and are not required to submit the TOEFL or IELTS. | No exemptions are made on the basis of an advanced degree (e.g., MA/MS or PhD) from any institution.</t>
        </is>
      </c>
      <c r="F818" s="4" t="inlineStr">
        <is>
          <t>https://gsas.yale.edu/admissions/phdmasters-application-process/standardized-testing-requirements</t>
        </is>
      </c>
      <c r="G818" s="4" t="inlineStr"/>
      <c r="H818" s="4" t="inlineStr">
        <is>
          <t>2026-10-21</t>
        </is>
      </c>
    </row>
    <row r="819">
      <c r="A819" s="4" t="inlineStr">
        <is>
          <t>Yale University</t>
        </is>
      </c>
      <c r="B819" s="4" t="inlineStr">
        <is>
          <t>Supervisor before admission</t>
        </is>
      </c>
      <c r="C819" s="4" t="inlineStr">
        <is>
          <t>Not stated</t>
        </is>
      </c>
      <c r="D819" s="4" t="inlineStr">
        <is>
          <t>No pre-application supervisor requirement mentioned</t>
        </is>
      </c>
      <c r="E819" s="4" t="inlineStr">
        <is>
          <t>(no statement found)</t>
        </is>
      </c>
      <c r="F819" s="4" t="inlineStr">
        <is>
          <t>https://physics.yale.edu/apply</t>
        </is>
      </c>
      <c r="G819" s="4" t="inlineStr"/>
      <c r="H819" s="4" t="inlineStr">
        <is>
          <t>2026-10-21</t>
        </is>
      </c>
    </row>
    <row r="820">
      <c r="A820" s="4" t="inlineStr">
        <is>
          <t>Yale University</t>
        </is>
      </c>
      <c r="B820" s="4" t="inlineStr">
        <is>
          <t>PhD funding</t>
        </is>
      </c>
      <c r="C820" s="4" t="inlineStr">
        <is>
          <t>Guaranteed</t>
        </is>
      </c>
      <c r="D820" s="4" t="inlineStr">
        <is>
          <t>Every PhD student gets full tuition plus a stipend for at least five years; department FAQ says all admitted students receive financial aid</t>
        </is>
      </c>
      <c r="E820" s="4" t="inlineStr">
        <is>
          <t>Every PhD student receives a funding package that covers the full cost of tuition and provides a stipend to cover basic living costs like rent, food, and books — for a minimum of five years.  ||  Do all admitted students receive financial aid? | A University stipend, Teaching Fellowship and full tuition are provided by Yale (typically for the first 3 or 4 semesters). (https://physics.yale.edu/prospective-graduate-student-faq)</t>
        </is>
      </c>
      <c r="F820" s="4" t="inlineStr">
        <is>
          <t>https://gsas.yale.edu/resources/graduate-financial-aid</t>
        </is>
      </c>
      <c r="G820" s="4" t="inlineStr"/>
      <c r="H820" s="4" t="inlineStr">
        <is>
          <t>2026-10-21</t>
        </is>
      </c>
    </row>
    <row r="821">
      <c r="A821" s="4" t="inlineStr">
        <is>
          <t>Yale University</t>
        </is>
      </c>
      <c r="B821" s="4" t="inlineStr">
        <is>
          <t>Entry route</t>
        </is>
      </c>
      <c r="C821" s="4" t="inlineStr">
        <is>
          <t>Direct from bachelor's</t>
        </is>
      </c>
      <c r="D821" s="4" t="inlineStr">
        <is>
          <t>A master's is not required to apply for a Yale PhD (some programs prefer post-baccalaureate training)</t>
        </is>
      </c>
      <c r="E821" s="4" t="inlineStr">
        <is>
          <t>A Master's degree is not required to apply for a PhD at Yale, although some programs give preference to applicants with post-baccalaureate training.</t>
        </is>
      </c>
      <c r="F821" s="4" t="inlineStr">
        <is>
          <t>https://gsas.yale.edu/admissions/phdmasters-application-process</t>
        </is>
      </c>
      <c r="G821" s="4" t="inlineStr"/>
      <c r="H821" s="4" t="inlineStr">
        <is>
          <t>2026-10-21</t>
        </is>
      </c>
    </row>
  </sheetData>
  <autoFilter ref="A1:H8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2026-10-22T03:14:57Z</dcterms:created>
  <dcterms:modified xmlns:dcterms="http://purl.org/dc/terms/" xmlns:xsi="http://www.w3.org/2001/XMLSchema-instance" xsi:type="dcterms:W3CDTF">2026-10-22T03:14:57Z</dcterms:modified>
</cp:coreProperties>
</file>