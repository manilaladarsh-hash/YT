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grams" sheetId="2" state="visible" r:id="rId2"/>
    <sheet xmlns:r="http://schemas.openxmlformats.org/officeDocument/2006/relationships" name="Shortlist" sheetId="3" state="visible" r:id="rId3"/>
    <sheet xmlns:r="http://schemas.openxmlformats.org/officeDocument/2006/relationships" name="Budget" sheetId="4" state="visible" r:id="rId4"/>
    <sheet xmlns:r="http://schemas.openxmlformats.org/officeDocument/2006/relationships" name="Recommenders" sheetId="5" state="visible" r:id="rId5"/>
    <sheet xmlns:r="http://schemas.openxmlformats.org/officeDocument/2006/relationships" name="Supervisor outreach" sheetId="6" state="visible" r:id="rId6"/>
    <sheet xmlns:r="http://schemas.openxmlformats.org/officeDocument/2006/relationships" name="Sources" sheetId="7" state="visible" r:id="rId7"/>
  </sheets>
  <definedNames>
    <definedName name="_xlnm._FilterDatabase" localSheetId="1" hidden="1">'Programs'!$A$1:$W$32</definedName>
    <definedName name="_xlnm._FilterDatabase" localSheetId="6" hidden="1">'Sources'!$A$1:$H$311</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4"/>
    </font>
    <font>
      <sz val="11"/>
    </font>
    <font>
      <color rgb="001F5F8B"/>
      <u val="single"/>
    </font>
    <font>
      <b val="1"/>
      <color rgb="00FFFFFF"/>
    </font>
    <font>
      <b val="1"/>
    </font>
  </fonts>
  <fills count="4">
    <fill>
      <patternFill/>
    </fill>
    <fill>
      <patternFill patternType="gray125"/>
    </fill>
    <fill>
      <patternFill patternType="solid">
        <fgColor rgb="001F5F8B"/>
      </patternFill>
    </fill>
    <fill>
      <patternFill patternType="solid">
        <fgColor rgb="00FFF7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0" fontId="3" fillId="0" borderId="0" applyAlignment="1" pivotButton="0" quotePrefix="0" xfId="0">
      <alignment vertical="top" wrapText="1"/>
    </xf>
    <xf numFmtId="0" fontId="0" fillId="3" borderId="0" pivotButton="0" quotePrefix="0" xfId="0"/>
    <xf numFmtId="164" fontId="0" fillId="0" borderId="0" pivotButton="0" quotePrefix="0" xfId="0"/>
    <xf numFmtId="0" fontId="4" fillId="2" borderId="0" pivotButton="0" quotePrefix="0" xfId="0"/>
    <xf numFmtId="0" fontId="5" fillId="0" borderId="0" pivotButton="0" quotePrefix="0" xfId="0"/>
    <xf numFmtId="164"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u.edu/physics/graduate-program/graduate-program-admissions/" TargetMode="External" Id="rId1"/><Relationship Type="http://schemas.openxmlformats.org/officeDocument/2006/relationships/hyperlink" Target="https://physics.caltech.edu/academics/graduate-studies/information-for-applicants" TargetMode="External" Id="rId2"/><Relationship Type="http://schemas.openxmlformats.org/officeDocument/2006/relationships/hyperlink" Target="https://www.physics.columbia.edu/content/applying-columbia-physics-graduate-program" TargetMode="External" Id="rId3"/><Relationship Type="http://schemas.openxmlformats.org/officeDocument/2006/relationships/hyperlink" Target="https://physics.cornell.edu/prospective-graduate-students" TargetMode="External" Id="rId4"/><Relationship Type="http://schemas.openxmlformats.org/officeDocument/2006/relationships/hyperlink" Target="https://physics.gatech.edu/academics/graduate/admissions-info" TargetMode="External" Id="rId5"/><Relationship Type="http://schemas.openxmlformats.org/officeDocument/2006/relationships/hyperlink" Target="https://www.physics.mcgill.ca/grads/application.html" TargetMode="External" Id="rId6"/><Relationship Type="http://schemas.openxmlformats.org/officeDocument/2006/relationships/hyperlink" Target="https://physics.mcmaster.ca/graduate-studies/how-to-apply/" TargetMode="External" Id="rId7"/><Relationship Type="http://schemas.openxmlformats.org/officeDocument/2006/relationships/hyperlink" Target="https://science.psu.edu/physics/graduate/applying" TargetMode="External" Id="rId8"/><Relationship Type="http://schemas.openxmlformats.org/officeDocument/2006/relationships/hyperlink" Target="https://www.physics.purdue.edu/academic-programs/future_students/admissions.html" TargetMode="External" Id="rId9"/><Relationship Type="http://schemas.openxmlformats.org/officeDocument/2006/relationships/hyperlink" Target="https://www.queensu.ca/physics/grad-studies/applicants" TargetMode="External" Id="rId10"/><Relationship Type="http://schemas.openxmlformats.org/officeDocument/2006/relationships/hyperlink" Target="https://physics.rice.edu/how-apply" TargetMode="External" Id="rId11"/><Relationship Type="http://schemas.openxmlformats.org/officeDocument/2006/relationships/hyperlink" Target="https://physics.rutgers.edu/academics/graduate-program/admissions" TargetMode="External" Id="rId12"/><Relationship Type="http://schemas.openxmlformats.org/officeDocument/2006/relationships/hyperlink" Target="https://www.sfu.ca/physics/graduate/prospective/applying.html" TargetMode="External" Id="rId13"/><Relationship Type="http://schemas.openxmlformats.org/officeDocument/2006/relationships/hyperlink" Target="https://physics.stanford.edu/graduate/graduate-admissions" TargetMode="External" Id="rId14"/><Relationship Type="http://schemas.openxmlformats.org/officeDocument/2006/relationships/hyperlink" Target="https://www.stonybrook.edu/physics/graduate/apply.html" TargetMode="External" Id="rId15"/><Relationship Type="http://schemas.openxmlformats.org/officeDocument/2006/relationships/hyperlink" Target="https://artsci.tamu.edu/physics-astronomy/academics/prospective-graduates/how-to-apply.html" TargetMode="External" Id="rId16"/><Relationship Type="http://schemas.openxmlformats.org/officeDocument/2006/relationships/hyperlink" Target="https://physics.osu.edu/graduate/prospective-students" TargetMode="External" Id="rId17"/><Relationship Type="http://schemas.openxmlformats.org/officeDocument/2006/relationships/hyperlink" Target="https://www.ualberta.ca/en/physics/graduate-studies/information-for-prospective-students-and-applicants/deadlines.html" TargetMode="External" Id="rId18"/><Relationship Type="http://schemas.openxmlformats.org/officeDocument/2006/relationships/hyperlink" Target="https://www.grad.ubc.ca/prospective-students/graduate-degree-programs/phd-physics" TargetMode="External" Id="rId19"/><Relationship Type="http://schemas.openxmlformats.org/officeDocument/2006/relationships/hyperlink" Target="https://grad.ucalgary.ca/future-students/graduate/discover-opportunities/explore-programs/physics-and-astronomy-phd" TargetMode="External" Id="rId20"/><Relationship Type="http://schemas.openxmlformats.org/officeDocument/2006/relationships/hyperlink" Target="https://physics.berkeley.edu/academic/graduate-degree/graduate-admissions" TargetMode="External" Id="rId21"/><Relationship Type="http://schemas.openxmlformats.org/officeDocument/2006/relationships/hyperlink" Target="https://www.physics.ucsb.edu/academics/graduate/apply" TargetMode="External" Id="rId22"/><Relationship Type="http://schemas.openxmlformats.org/officeDocument/2006/relationships/hyperlink" Target="https://physicsrecruitment.psd.uchicago.edu/apply/" TargetMode="External" Id="rId23"/><Relationship Type="http://schemas.openxmlformats.org/officeDocument/2006/relationships/hyperlink" Target="https://physics.illinois.edu/admissions/graduates/apply" TargetMode="External" Id="rId24"/><Relationship Type="http://schemas.openxmlformats.org/officeDocument/2006/relationships/hyperlink" Target="https://academiccatalog.umd.edu/graduate/programs/physics-phys/" TargetMode="External" Id="rId25"/><Relationship Type="http://schemas.openxmlformats.org/officeDocument/2006/relationships/hyperlink" Target="https://cse.umn.edu/physics/graduate-admissions" TargetMode="External" Id="rId26"/><Relationship Type="http://schemas.openxmlformats.org/officeDocument/2006/relationships/hyperlink" Target="https://catalogue.uottawa.ca/en/graduate/doctorate-philosophy-physics/" TargetMode="External" Id="rId27"/><Relationship Type="http://schemas.openxmlformats.org/officeDocument/2006/relationships/hyperlink" Target="https://physics.utexas.edu/academics/admissions" TargetMode="External" Id="rId28"/><Relationship Type="http://schemas.openxmlformats.org/officeDocument/2006/relationships/hyperlink" Target="https://www.physics.utoronto.ca/graduate/prospective-students/graduate-admissions-department-physics/application-procedure/" TargetMode="External" Id="rId29"/><Relationship Type="http://schemas.openxmlformats.org/officeDocument/2006/relationships/hyperlink" Target="https://uwaterloo.ca/physics-astronomy/graduate-studies/how-apply" TargetMode="External" Id="rId30"/><Relationship Type="http://schemas.openxmlformats.org/officeDocument/2006/relationships/hyperlink" Target="https://www.physics.wisc.edu/graduate/phd-program/" TargetMode="External" Id="rId31"/></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min="1" max="1"/>
  </cols>
  <sheetData>
    <row r="1">
      <c r="A1" s="1" t="inlineStr">
        <is>
          <t>Physics PhD Atlas 2027: planner workbook</t>
        </is>
      </c>
    </row>
    <row r="2">
      <c r="A2" s="2" t="inlineStr">
        <is>
          <t>Version 1.0 · 31 programs · data checked October 21, 2026</t>
        </is>
      </c>
    </row>
    <row r="3">
      <c r="A3" s="2" t="inlineStr"/>
    </row>
    <row r="4">
      <c r="A4" s="2" t="inlineStr">
        <is>
          <t>1. Programs: every program with deadline, fee, waivers, tests, supervisor rule and funding. Filter with the header arrows.</t>
        </is>
      </c>
    </row>
    <row r="5">
      <c r="A5" s="2" t="inlineStr">
        <is>
          <t>2. Shortlist: choose a program from the drop-down in column A; the other columns fill in automatically. Yellow cells are yours to edit.</t>
        </is>
      </c>
    </row>
    <row r="6">
      <c r="A6" s="2" t="inlineStr">
        <is>
          <t>3. Budget: totals your shortlisted application fees by currency. Add score-sending and transcript costs from the official sites, and today's exchange rates.</t>
        </is>
      </c>
    </row>
    <row r="7">
      <c r="A7" s="2" t="inlineStr">
        <is>
          <t>4. Recommenders and Supervisor outreach: track requests; follow-up dates calculate themselves.</t>
        </is>
      </c>
    </row>
    <row r="8">
      <c r="A8" s="2" t="inlineStr">
        <is>
          <t>5. Sources: the exact official sentence and link behind every value.</t>
        </is>
      </c>
    </row>
    <row r="9">
      <c r="A9" s="2" t="inlineStr"/>
    </row>
    <row r="10">
      <c r="A10" s="2" t="inlineStr">
        <is>
          <t>'Not stated' = the official pages checked did not say (not a 'no'). Always confirm on the official page before paying or submitting.</t>
        </is>
      </c>
    </row>
    <row r="11">
      <c r="A11" s="2" t="inlineStr">
        <is>
          <t>Not affiliated with any university. Not immigration, visa or legal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9" customWidth="1" min="3" max="3"/>
    <col width="16" customWidth="1" min="4" max="4"/>
    <col width="12" customWidth="1" min="5" max="5"/>
    <col width="40" customWidth="1" min="6" max="6"/>
    <col width="10" customWidth="1" min="7" max="7"/>
    <col width="9" customWidth="1" min="8" max="8"/>
    <col width="14" customWidth="1" min="9" max="9"/>
    <col width="40" customWidth="1" min="10" max="10"/>
    <col width="13" customWidth="1" min="11" max="11"/>
    <col width="13" customWidth="1" min="12" max="12"/>
    <col width="12" customWidth="1" min="13" max="13"/>
    <col width="13" customWidth="1" min="14" max="14"/>
    <col width="40" customWidth="1" min="15" max="15"/>
    <col width="14" customWidth="1" min="16" max="16"/>
    <col width="40" customWidth="1" min="17" max="17"/>
    <col width="12" customWidth="1" min="18" max="18"/>
    <col width="40" customWidth="1" min="19" max="19"/>
    <col width="18" customWidth="1" min="20" max="20"/>
    <col width="40" customWidth="1" min="21" max="21"/>
    <col width="40" customWidth="1" min="22" max="22"/>
    <col width="11" customWidth="1" min="23" max="23"/>
  </cols>
  <sheetData>
    <row r="1">
      <c r="A1" s="3" t="inlineStr">
        <is>
          <t>Program</t>
        </is>
      </c>
      <c r="B1" s="3" t="inlineStr">
        <is>
          <t>Department</t>
        </is>
      </c>
      <c r="C1" s="3" t="inlineStr">
        <is>
          <t>Country</t>
        </is>
      </c>
      <c r="D1" s="3" t="inlineStr">
        <is>
          <t>Region</t>
        </is>
      </c>
      <c r="E1" s="3" t="inlineStr">
        <is>
          <t>Deadline</t>
        </is>
      </c>
      <c r="F1" s="3" t="inlineStr">
        <is>
          <t>Deadline note</t>
        </is>
      </c>
      <c r="G1" s="3" t="inlineStr">
        <is>
          <t>Fee amount</t>
        </is>
      </c>
      <c r="H1" s="3" t="inlineStr">
        <is>
          <t>Fee currency</t>
        </is>
      </c>
      <c r="I1" s="3" t="inlineStr">
        <is>
          <t>Intl fee waiver</t>
        </is>
      </c>
      <c r="J1" s="3" t="inlineStr">
        <is>
          <t>Fee waiver detail</t>
        </is>
      </c>
      <c r="K1" s="3" t="inlineStr">
        <is>
          <t>GRE General</t>
        </is>
      </c>
      <c r="L1" s="3" t="inlineStr">
        <is>
          <t>Physics GRE</t>
        </is>
      </c>
      <c r="M1" s="3" t="inlineStr">
        <is>
          <t>TOEFL minimum</t>
        </is>
      </c>
      <c r="N1" s="3" t="inlineStr">
        <is>
          <t>English waiver</t>
        </is>
      </c>
      <c r="O1" s="3" t="inlineStr">
        <is>
          <t>English detail</t>
        </is>
      </c>
      <c r="P1" s="3" t="inlineStr">
        <is>
          <t>Supervisor</t>
        </is>
      </c>
      <c r="Q1" s="3" t="inlineStr">
        <is>
          <t>Supervisor detail</t>
        </is>
      </c>
      <c r="R1" s="3" t="inlineStr">
        <is>
          <t>Funding</t>
        </is>
      </c>
      <c r="S1" s="3" t="inlineStr">
        <is>
          <t>Funding detail</t>
        </is>
      </c>
      <c r="T1" s="3" t="inlineStr">
        <is>
          <t>Entry route</t>
        </is>
      </c>
      <c r="U1" s="3" t="inlineStr">
        <is>
          <t>Notes</t>
        </is>
      </c>
      <c r="V1" s="3" t="inlineStr">
        <is>
          <t>Admissions page</t>
        </is>
      </c>
      <c r="W1" s="3" t="inlineStr">
        <is>
          <t>Checked</t>
        </is>
      </c>
    </row>
    <row r="2">
      <c r="A2" s="4" t="inlineStr">
        <is>
          <t>Boston University</t>
        </is>
      </c>
      <c r="B2" s="4" t="inlineStr">
        <is>
          <t>Department of Physics</t>
        </is>
      </c>
      <c r="C2" s="4" t="inlineStr">
        <is>
          <t>USA</t>
        </is>
      </c>
      <c r="D2" s="4" t="inlineStr">
        <is>
          <t>Massachusetts</t>
        </is>
      </c>
      <c r="E2" s="5" t="n">
        <v>46371</v>
      </c>
      <c r="F2" s="4" t="inlineStr">
        <is>
          <t>December 15, 23:59 ET; all documents must be posted. Year inferred.</t>
        </is>
      </c>
      <c r="G2" s="4" t="n">
        <v>95</v>
      </c>
      <c r="H2" s="4" t="inlineStr">
        <is>
          <t>USD</t>
        </is>
      </c>
      <c r="I2" s="4" t="inlineStr">
        <is>
          <t>Domestic only</t>
        </is>
      </c>
      <c r="J2" s="4" t="inlineStr">
        <is>
          <t>Central office waivers are domestic-only; international applicants may ask the program directly</t>
        </is>
      </c>
      <c r="K2" s="4" t="inlineStr">
        <is>
          <t>Optional</t>
        </is>
      </c>
      <c r="L2" s="4" t="inlineStr">
        <is>
          <t>Recommended</t>
        </is>
      </c>
      <c r="M2" s="4" t="inlineStr">
        <is>
          <t>Not stated</t>
        </is>
      </c>
      <c r="N2" s="4" t="inlineStr">
        <is>
          <t>Not stated</t>
        </is>
      </c>
      <c r="O2" s="4" t="inlineStr">
        <is>
          <t>Not stated on the page checked</t>
        </is>
      </c>
      <c r="P2" s="4" t="inlineStr">
        <is>
          <t>Not stated</t>
        </is>
      </c>
      <c r="Q2" s="4" t="inlineStr">
        <is>
          <t>No pre-application supervisor requirement mentioned</t>
        </is>
      </c>
      <c r="R2" s="4" t="inlineStr">
        <is>
          <t>Typical</t>
        </is>
      </c>
      <c r="S2" s="4" t="inlineStr">
        <is>
          <t>RAs and TAs receive tuition, fees and basic medical insurance plus a stipend</t>
        </is>
      </c>
      <c r="T2" s="4" t="inlineStr">
        <is>
          <t>Not stated</t>
        </is>
      </c>
      <c r="U2" s="4" t="inlineStr">
        <is>
          <t>BU explicitly refuses hardship-based fee waivers for international applicants at the central level.</t>
        </is>
      </c>
      <c r="V2" s="6" t="inlineStr">
        <is>
          <t>https://www.bu.edu/physics/graduate-program/graduate-program-admissions/</t>
        </is>
      </c>
      <c r="W2" s="4" t="inlineStr">
        <is>
          <t>2026-10-21</t>
        </is>
      </c>
    </row>
    <row r="3">
      <c r="A3" s="4" t="inlineStr">
        <is>
          <t>California Institute of Technology</t>
        </is>
      </c>
      <c r="B3" s="4" t="inlineStr">
        <is>
          <t>Department of Physics (PMA)</t>
        </is>
      </c>
      <c r="C3" s="4" t="inlineStr">
        <is>
          <t>USA</t>
        </is>
      </c>
      <c r="D3" s="4" t="inlineStr">
        <is>
          <t>California</t>
        </is>
      </c>
      <c r="E3" s="5" t="n">
        <v>46371</v>
      </c>
      <c r="F3" s="4" t="inlineStr">
        <is>
          <t>December 15 (catalog). Year inferred for Fall 2027.</t>
        </is>
      </c>
      <c r="G3" s="4" t="inlineStr">
        <is>
          <t>Not stated</t>
        </is>
      </c>
      <c r="H3" s="4" t="inlineStr"/>
      <c r="I3" s="4" t="inlineStr">
        <is>
          <t>Limited</t>
        </is>
      </c>
      <c r="J3" s="4" t="inlineStr">
        <is>
          <t>Waivers are requested inside the online application; eligibility rules are not stated on the department page</t>
        </is>
      </c>
      <c r="K3" s="4" t="inlineStr">
        <is>
          <t>Recommended</t>
        </is>
      </c>
      <c r="L3" s="4" t="inlineStr">
        <is>
          <t>Required</t>
        </is>
      </c>
      <c r="M3" s="4" t="inlineStr">
        <is>
          <t>Not stated</t>
        </is>
      </c>
      <c r="N3" s="4" t="inlineStr">
        <is>
          <t>Not stated</t>
        </is>
      </c>
      <c r="O3" s="4" t="inlineStr">
        <is>
          <t>Not stated on the page checked</t>
        </is>
      </c>
      <c r="P3" s="4" t="inlineStr">
        <is>
          <t>Not stated</t>
        </is>
      </c>
      <c r="Q3" s="4" t="inlineStr">
        <is>
          <t>No pre-application supervisor requirement mentioned</t>
        </is>
      </c>
      <c r="R3" s="4" t="inlineStr">
        <is>
          <t>Not stated</t>
        </is>
      </c>
      <c r="S3" s="4" t="inlineStr">
        <is>
          <t>Not stated on the page checked</t>
        </is>
      </c>
      <c r="T3" s="4" t="inlineStr">
        <is>
          <t>Not stated</t>
        </is>
      </c>
      <c r="U3" s="4" t="inlineStr">
        <is>
          <t>Astronomy faculty can supervise physics students and vice versa.</t>
        </is>
      </c>
      <c r="V3" s="6" t="inlineStr">
        <is>
          <t>https://physics.caltech.edu/academics/graduate-studies/information-for-applicants</t>
        </is>
      </c>
      <c r="W3" s="4" t="inlineStr">
        <is>
          <t>2026-10-21</t>
        </is>
      </c>
    </row>
    <row r="4">
      <c r="A4" s="4" t="inlineStr">
        <is>
          <t>Columbia University</t>
        </is>
      </c>
      <c r="B4" s="4" t="inlineStr">
        <is>
          <t>Department of Physics</t>
        </is>
      </c>
      <c r="C4" s="4" t="inlineStr">
        <is>
          <t>USA</t>
        </is>
      </c>
      <c r="D4" s="4" t="inlineStr">
        <is>
          <t>New York</t>
        </is>
      </c>
      <c r="E4" s="5" t="n">
        <v>46359</v>
      </c>
      <c r="F4" s="4" t="inlineStr">
        <is>
          <t>December 3, 2026 for Fall 2027 (early!)</t>
        </is>
      </c>
      <c r="G4" s="4" t="n">
        <v>120</v>
      </c>
      <c r="H4" s="4" t="inlineStr">
        <is>
          <t>USD</t>
        </is>
      </c>
      <c r="I4" s="4" t="inlineStr">
        <is>
          <t>Available</t>
        </is>
      </c>
      <c r="J4" s="4" t="inlineStr">
        <is>
          <t>GSAS considers waivers for financial need, personal hardship or other onerous circumstances</t>
        </is>
      </c>
      <c r="K4" s="4" t="inlineStr">
        <is>
          <t>Optional</t>
        </is>
      </c>
      <c r="L4" s="4" t="inlineStr">
        <is>
          <t>Optional</t>
        </is>
      </c>
      <c r="M4" s="4" t="inlineStr">
        <is>
          <t>Not stated</t>
        </is>
      </c>
      <c r="N4" s="4" t="inlineStr">
        <is>
          <t>Conditional</t>
        </is>
      </c>
      <c r="O4" s="4" t="inlineStr">
        <is>
          <t>Rule is based on the official language of your degree institution's country; English is an official language in India, so ask GSAS how this applies to you</t>
        </is>
      </c>
      <c r="P4" s="4" t="inlineStr">
        <is>
          <t>Not stated</t>
        </is>
      </c>
      <c r="Q4" s="4" t="inlineStr">
        <is>
          <t>No pre-application supervisor requirement mentioned</t>
        </is>
      </c>
      <c r="R4" s="4" t="inlineStr">
        <is>
          <t>Guaranteed</t>
        </is>
      </c>
      <c r="S4" s="4" t="inlineStr">
        <is>
          <t>Prevailing stipend plus tuition and fees for six years in good standing</t>
        </is>
      </c>
      <c r="T4" s="4" t="inlineStr">
        <is>
          <t>Not stated</t>
        </is>
      </c>
      <c r="U4" s="4" t="inlineStr">
        <is>
          <t>Three letters; personal statement. One of the earliest deadlines in this list.</t>
        </is>
      </c>
      <c r="V4" s="6" t="inlineStr">
        <is>
          <t>https://www.physics.columbia.edu/content/applying-columbia-physics-graduate-program</t>
        </is>
      </c>
      <c r="W4" s="4" t="inlineStr">
        <is>
          <t>2026-10-21</t>
        </is>
      </c>
    </row>
    <row r="5">
      <c r="A5" s="4" t="inlineStr">
        <is>
          <t>Cornell University</t>
        </is>
      </c>
      <c r="B5" s="4" t="inlineStr">
        <is>
          <t>Department of Physics</t>
        </is>
      </c>
      <c r="C5" s="4" t="inlineStr">
        <is>
          <t>USA</t>
        </is>
      </c>
      <c r="D5" s="4" t="inlineStr">
        <is>
          <t>New York</t>
        </is>
      </c>
      <c r="E5" s="5" t="n">
        <v>46371</v>
      </c>
      <c r="F5" s="4" t="inlineStr">
        <is>
          <t>December 15: all materials incl. test scores must be received. Year inferred.</t>
        </is>
      </c>
      <c r="G5" s="4" t="n">
        <v>105</v>
      </c>
      <c r="H5" s="4" t="inlineStr">
        <is>
          <t>USD</t>
        </is>
      </c>
      <c r="I5" s="4" t="inlineStr">
        <is>
          <t>Available</t>
        </is>
      </c>
      <c r="J5" s="4" t="inlineStr">
        <is>
          <t>Can be requested for financial hardship or extenuating circumstances (Graduate School criteria)</t>
        </is>
      </c>
      <c r="K5" s="4" t="inlineStr">
        <is>
          <t>Not stated</t>
        </is>
      </c>
      <c r="L5" s="4" t="inlineStr">
        <is>
          <t>Required</t>
        </is>
      </c>
      <c r="M5" s="4" t="inlineStr">
        <is>
          <t>Sections</t>
        </is>
      </c>
      <c r="N5" s="4" t="inlineStr">
        <is>
          <t>Not stated</t>
        </is>
      </c>
      <c r="O5" s="4" t="inlineStr">
        <is>
          <t>Standing exemptions on the Graduate School site (not checked)</t>
        </is>
      </c>
      <c r="P5" s="4" t="inlineStr">
        <is>
          <t>Not stated</t>
        </is>
      </c>
      <c r="Q5" s="4" t="inlineStr">
        <is>
          <t>No pre-application supervisor requirement mentioned</t>
        </is>
      </c>
      <c r="R5" s="4" t="inlineStr">
        <is>
          <t>Guaranteed</t>
        </is>
      </c>
      <c r="S5" s="4" t="inlineStr">
        <is>
          <t>6 years of full support in good standing (fellowships, TA, RA)</t>
        </is>
      </c>
      <c r="T5" s="4" t="inlineStr">
        <is>
          <t>Direct from bachelor's</t>
        </is>
      </c>
      <c r="U5" s="4" t="inlineStr">
        <is>
          <t>Applied Physics (AEP) is a separate Cornell field with different GRE rules.</t>
        </is>
      </c>
      <c r="V5" s="6" t="inlineStr">
        <is>
          <t>https://physics.cornell.edu/prospective-graduate-students</t>
        </is>
      </c>
      <c r="W5" s="4" t="inlineStr">
        <is>
          <t>2026-10-21</t>
        </is>
      </c>
    </row>
    <row r="6">
      <c r="A6" s="4" t="inlineStr">
        <is>
          <t>Georgia Institute of Technology</t>
        </is>
      </c>
      <c r="B6" s="4" t="inlineStr">
        <is>
          <t>School of Physics</t>
        </is>
      </c>
      <c r="C6" s="4" t="inlineStr">
        <is>
          <t>USA</t>
        </is>
      </c>
      <c r="D6" s="4" t="inlineStr">
        <is>
          <t>Georgia</t>
        </is>
      </c>
      <c r="E6" s="5" t="n">
        <v>46371</v>
      </c>
      <c r="F6" s="4" t="inlineStr">
        <is>
          <t>December 15. Year inferred for Fall 2027.</t>
        </is>
      </c>
      <c r="G6" s="4" t="n">
        <v>105</v>
      </c>
      <c r="H6" s="4" t="inlineStr">
        <is>
          <t>USD</t>
        </is>
      </c>
      <c r="I6" s="4" t="inlineStr">
        <is>
          <t>Limited</t>
        </is>
      </c>
      <c r="J6" s="4" t="inlineStr">
        <is>
          <t>Institute waivers for outstanding undergraduate achievement or recruitment events; internationals must submit ALL materials (incl. English scores) before requesting</t>
        </is>
      </c>
      <c r="K6" s="4" t="inlineStr">
        <is>
          <t>Not required</t>
        </is>
      </c>
      <c r="L6" s="4" t="inlineStr">
        <is>
          <t>Not required</t>
        </is>
      </c>
      <c r="M6" s="4" t="inlineStr">
        <is>
          <t>106</t>
        </is>
      </c>
      <c r="N6" s="4" t="inlineStr">
        <is>
          <t>No</t>
        </is>
      </c>
      <c r="O6" s="4" t="inlineStr">
        <is>
          <t>All applicants must demonstrate English proficiency at application, regardless of citizenship</t>
        </is>
      </c>
      <c r="P6" s="4" t="inlineStr">
        <is>
          <t>Not stated</t>
        </is>
      </c>
      <c r="Q6" s="4" t="inlineStr">
        <is>
          <t>No pre-application supervisor requirement mentioned</t>
        </is>
      </c>
      <c r="R6" s="4" t="inlineStr">
        <is>
          <t>Not stated</t>
        </is>
      </c>
      <c r="S6" s="4" t="inlineStr">
        <is>
          <t>PhD support terms not stated (MS students get no support)</t>
        </is>
      </c>
      <c r="T6" s="4" t="inlineStr">
        <is>
          <t>Direct from bachelor's</t>
        </is>
      </c>
      <c r="U6" s="4" t="inlineStr">
        <is>
          <t>Very high English-test thresholds: plan test dates early.</t>
        </is>
      </c>
      <c r="V6" s="6" t="inlineStr">
        <is>
          <t>https://physics.gatech.edu/academics/graduate/admissions-info</t>
        </is>
      </c>
      <c r="W6" s="4" t="inlineStr">
        <is>
          <t>2026-10-21</t>
        </is>
      </c>
    </row>
    <row r="7">
      <c r="A7" s="4" t="inlineStr">
        <is>
          <t>McGill University</t>
        </is>
      </c>
      <c r="B7" s="4" t="inlineStr">
        <is>
          <t>Department of Physics</t>
        </is>
      </c>
      <c r="C7" s="4" t="inlineStr">
        <is>
          <t>Canada</t>
        </is>
      </c>
      <c r="D7" s="4" t="inlineStr">
        <is>
          <t>Quebec</t>
        </is>
      </c>
      <c r="E7" s="5" t="n">
        <v>46371</v>
      </c>
      <c r="F7" s="4" t="inlineStr">
        <is>
          <t>December 15 for September (Fall) admission, international and domestic. Year inferred for Fall 2027.</t>
        </is>
      </c>
      <c r="G7" s="4" t="n">
        <v>120.99</v>
      </c>
      <c r="H7" s="4" t="inlineStr">
        <is>
          <t>CAD</t>
        </is>
      </c>
      <c r="I7" s="4" t="inlineStr">
        <is>
          <t>Not stated</t>
        </is>
      </c>
      <c r="J7" s="4" t="inlineStr">
        <is>
          <t>No waiver route stated on the pages checked</t>
        </is>
      </c>
      <c r="K7" s="4" t="inlineStr">
        <is>
          <t>Optional</t>
        </is>
      </c>
      <c r="L7" s="4" t="inlineStr">
        <is>
          <t>Recommended</t>
        </is>
      </c>
      <c r="M7" s="4" t="inlineStr">
        <is>
          <t>86</t>
        </is>
      </c>
      <c r="N7" s="4" t="inlineStr">
        <is>
          <t>Yes</t>
        </is>
      </c>
      <c r="O7" s="4" t="inlineStr">
        <is>
          <t>Normally exempt with a degree from a recognized foreign institution where English is the language of instruction; send proof to the department</t>
        </is>
      </c>
      <c r="P7" s="4" t="inlineStr">
        <is>
          <t>Recommended</t>
        </is>
      </c>
      <c r="Q7" s="4" t="inlineStr">
        <is>
          <t>Not required, but highly recommended: professors select students for their groups</t>
        </is>
      </c>
      <c r="R7" s="4" t="inlineStr">
        <is>
          <t>Guaranteed</t>
        </is>
      </c>
      <c r="S7" s="4" t="inlineStr">
        <is>
          <t>All graduate students receive a standard stipend, plus possible TA work</t>
        </is>
      </c>
      <c r="T7" s="4" t="inlineStr">
        <is>
          <t>Master's usually required</t>
        </is>
      </c>
      <c r="U7" s="4" t="inlineStr">
        <is>
          <t>The department FAQ answers 'Do I need to speak French?'; read it before applying. A Winter (January) intake also exists.</t>
        </is>
      </c>
      <c r="V7" s="6" t="inlineStr">
        <is>
          <t>https://www.physics.mcgill.ca/grads/application.html</t>
        </is>
      </c>
      <c r="W7" s="4" t="inlineStr">
        <is>
          <t>2026-10-21</t>
        </is>
      </c>
    </row>
    <row r="8">
      <c r="A8" s="4" t="inlineStr">
        <is>
          <t>McMaster University</t>
        </is>
      </c>
      <c r="B8" s="4" t="inlineStr">
        <is>
          <t>Physics and Astronomy</t>
        </is>
      </c>
      <c r="C8" s="4" t="inlineStr">
        <is>
          <t>Canada</t>
        </is>
      </c>
      <c r="D8" s="4" t="inlineStr">
        <is>
          <t>Ontario</t>
        </is>
      </c>
      <c r="E8" s="5" t="n">
        <v>46419</v>
      </c>
      <c r="F8" s="4" t="inlineStr">
        <is>
          <t>No formal deadline (rolling, offers while funding lasts); international applicants strongly encouraged to apply by February 1 for internal scholarships. SGS: complete by January 31 for full scholarship consideration; considered until April 30.</t>
        </is>
      </c>
      <c r="G8" s="4" t="n">
        <v>150</v>
      </c>
      <c r="H8" s="4" t="inlineStr">
        <is>
          <t>CAD</t>
        </is>
      </c>
      <c r="I8" s="4" t="inlineStr">
        <is>
          <t>Not stated</t>
        </is>
      </c>
      <c r="J8" s="4" t="inlineStr">
        <is>
          <t>No waiver route stated on the pages checked</t>
        </is>
      </c>
      <c r="K8" s="4" t="inlineStr">
        <is>
          <t>Not stated</t>
        </is>
      </c>
      <c r="L8" s="4" t="inlineStr">
        <is>
          <t>Not stated</t>
        </is>
      </c>
      <c r="M8" s="4" t="inlineStr">
        <is>
          <t>Not stated</t>
        </is>
      </c>
      <c r="N8" s="4" t="inlineStr">
        <is>
          <t>Conditional</t>
        </is>
      </c>
      <c r="O8" s="4" t="inlineStr">
        <is>
          <t>The application asks whether your degree's official language of instruction AND evaluation was English; programs may add their own requirements</t>
        </is>
      </c>
      <c r="P8" s="4" t="inlineStr">
        <is>
          <t>Recommended</t>
        </is>
      </c>
      <c r="Q8" s="4" t="inlineStr">
        <is>
          <t>Funding includes a research fellowship from the supervisor's grant; contact faculty directly to ask if they are taking students</t>
        </is>
      </c>
      <c r="R8" s="4" t="inlineStr">
        <is>
          <t>Guaranteed</t>
        </is>
      </c>
      <c r="S8" s="4" t="inlineStr">
        <is>
          <t>Full support guaranteed for all admitted students (scholarship + supervisor research scholarship + TA); minimum at least CAD 21,000 after tuition and fees</t>
        </is>
      </c>
      <c r="T8" s="4" t="inlineStr">
        <is>
          <t>Not stated</t>
        </is>
      </c>
      <c r="U8" s="4" t="inlineStr">
        <is>
          <t>About 25 new MSc/PhD students per year; first offers often go out before Christmas, so earlier is better.</t>
        </is>
      </c>
      <c r="V8" s="6" t="inlineStr">
        <is>
          <t>https://physics.mcmaster.ca/graduate-studies/how-to-apply/</t>
        </is>
      </c>
      <c r="W8" s="4" t="inlineStr">
        <is>
          <t>2026-10-21</t>
        </is>
      </c>
    </row>
    <row r="9">
      <c r="A9" s="4" t="inlineStr">
        <is>
          <t>Penn State University (University Park)</t>
        </is>
      </c>
      <c r="B9" s="4" t="inlineStr">
        <is>
          <t>Department of Physics</t>
        </is>
      </c>
      <c r="C9" s="4" t="inlineStr">
        <is>
          <t>USA</t>
        </is>
      </c>
      <c r="D9" s="4" t="inlineStr">
        <is>
          <t>Pennsylvania</t>
        </is>
      </c>
      <c r="E9" s="5" t="n">
        <v>46402</v>
      </c>
      <c r="F9" s="4" t="inlineStr">
        <is>
          <t>January 15 (applications for Fall 2027 open October 1, 2026). Year inferred.</t>
        </is>
      </c>
      <c r="G9" s="4" t="n">
        <v>0</v>
      </c>
      <c r="H9" s="4" t="inlineStr">
        <is>
          <t>USD</t>
        </is>
      </c>
      <c r="I9" s="4" t="inlineStr">
        <is>
          <t>Available</t>
        </is>
      </c>
      <c r="J9" s="4" t="inlineStr">
        <is>
          <t>Automatic for everyone this cycle via code PHYS2027 (international included)</t>
        </is>
      </c>
      <c r="K9" s="4" t="inlineStr">
        <is>
          <t>Not stated</t>
        </is>
      </c>
      <c r="L9" s="4" t="inlineStr">
        <is>
          <t>Not stated</t>
        </is>
      </c>
      <c r="M9" s="4" t="inlineStr">
        <is>
          <t>Not stated</t>
        </is>
      </c>
      <c r="N9" s="4" t="inlineStr">
        <is>
          <t>Not stated</t>
        </is>
      </c>
      <c r="O9" s="4" t="inlineStr">
        <is>
          <t>Rule is country-based ('non-English speaking countries'); exemption list not shown on the page checked</t>
        </is>
      </c>
      <c r="P9" s="4" t="inlineStr">
        <is>
          <t>Not stated</t>
        </is>
      </c>
      <c r="Q9" s="4" t="inlineStr">
        <is>
          <t>No pre-application supervisor requirement mentioned</t>
        </is>
      </c>
      <c r="R9" s="4" t="inlineStr">
        <is>
          <t>Not stated</t>
        </is>
      </c>
      <c r="S9" s="4" t="inlineStr">
        <is>
          <t>Not stated on the page checked</t>
        </is>
      </c>
      <c r="T9" s="4" t="inlineStr">
        <is>
          <t>Not stated</t>
        </is>
      </c>
      <c r="U9" s="4" t="inlineStr">
        <is>
          <t>Free to apply this cycle; a low-cost 'safety-to-target' add for many lists.</t>
        </is>
      </c>
      <c r="V9" s="6" t="inlineStr">
        <is>
          <t>https://science.psu.edu/physics/graduate/applying</t>
        </is>
      </c>
      <c r="W9" s="4" t="inlineStr">
        <is>
          <t>2026-10-21</t>
        </is>
      </c>
    </row>
    <row r="10">
      <c r="A10" s="4" t="inlineStr">
        <is>
          <t>Purdue University (West Lafayette)</t>
        </is>
      </c>
      <c r="B10" s="4" t="inlineStr">
        <is>
          <t>Physics and Astronomy</t>
        </is>
      </c>
      <c r="C10" s="4" t="inlineStr">
        <is>
          <t>USA</t>
        </is>
      </c>
      <c r="D10" s="4" t="inlineStr">
        <is>
          <t>Indiana</t>
        </is>
      </c>
      <c r="E10" s="5" t="n">
        <v>46371</v>
      </c>
      <c r="F10" s="4" t="inlineStr">
        <is>
          <t>December 15 for fall, including TOEFL/IELTS scores. Year inferred for Fall 2027.</t>
        </is>
      </c>
      <c r="G10" s="4" t="n">
        <v>75</v>
      </c>
      <c r="H10" s="4" t="inlineStr">
        <is>
          <t>USD</t>
        </is>
      </c>
      <c r="I10" s="4" t="inlineStr">
        <is>
          <t>Limited</t>
        </is>
      </c>
      <c r="J10" s="4" t="inlineStr">
        <is>
          <t>Fee-waiver applications exist through Big Ten and Purdue; check eligibility for international applicants</t>
        </is>
      </c>
      <c r="K10" s="4" t="inlineStr">
        <is>
          <t>Optional</t>
        </is>
      </c>
      <c r="L10" s="4" t="inlineStr">
        <is>
          <t>Optional</t>
        </is>
      </c>
      <c r="M10" s="4" t="inlineStr">
        <is>
          <t>Not stated</t>
        </is>
      </c>
      <c r="N10" s="4" t="inlineStr">
        <is>
          <t>Not stated</t>
        </is>
      </c>
      <c r="O10" s="4" t="inlineStr">
        <is>
          <t>Exemption rules not shown on the pages checked</t>
        </is>
      </c>
      <c r="P10" s="4" t="inlineStr">
        <is>
          <t>Not stated</t>
        </is>
      </c>
      <c r="Q10" s="4" t="inlineStr">
        <is>
          <t>No pre-application supervisor requirement mentioned</t>
        </is>
      </c>
      <c r="R10" s="4" t="inlineStr">
        <is>
          <t>Typical</t>
        </is>
      </c>
      <c r="S10" s="4" t="inlineStr">
        <is>
          <t>Most common support is a half-time (20 h/week) teaching assistantship; tick the box on the main application</t>
        </is>
      </c>
      <c r="T10" s="4" t="inlineStr">
        <is>
          <t>Not stated</t>
        </is>
      </c>
      <c r="U10" s="4" t="inlineStr">
        <is>
          <t>Purdue states that from August 15, 2026, Indiana law requires additional review steps for some international applicants. Oral English certification is required to keep a TA appointment for non-native speakers.</t>
        </is>
      </c>
      <c r="V10" s="6" t="inlineStr">
        <is>
          <t>https://www.physics.purdue.edu/academic-programs/future_students/admissions.html</t>
        </is>
      </c>
      <c r="W10" s="4" t="inlineStr">
        <is>
          <t>2026-10-21</t>
        </is>
      </c>
    </row>
    <row r="11">
      <c r="A11" s="4" t="inlineStr">
        <is>
          <t>Queen's University</t>
        </is>
      </c>
      <c r="B11" s="4" t="inlineStr">
        <is>
          <t>Physics, Engineering Physics and Astronomy</t>
        </is>
      </c>
      <c r="C11" s="4" t="inlineStr">
        <is>
          <t>Canada</t>
        </is>
      </c>
      <c r="D11" s="4" t="inlineStr">
        <is>
          <t>Ontario</t>
        </is>
      </c>
      <c r="E11" s="5" t="n">
        <v>46394</v>
      </c>
      <c r="F11" s="4" t="inlineStr">
        <is>
          <t>January 7 for full consideration (September start); rolling review so apply early. Year inferred.</t>
        </is>
      </c>
      <c r="G11" s="4" t="inlineStr">
        <is>
          <t>Not stated</t>
        </is>
      </c>
      <c r="H11" s="4" t="inlineStr"/>
      <c r="I11" s="4" t="inlineStr">
        <is>
          <t>Not stated</t>
        </is>
      </c>
      <c r="J11" s="4" t="inlineStr">
        <is>
          <t>Not stated on the pages checked</t>
        </is>
      </c>
      <c r="K11" s="4" t="inlineStr">
        <is>
          <t>Optional</t>
        </is>
      </c>
      <c r="L11" s="4" t="inlineStr">
        <is>
          <t>Optional</t>
        </is>
      </c>
      <c r="M11" s="4" t="inlineStr">
        <is>
          <t>Not stated</t>
        </is>
      </c>
      <c r="N11" s="4" t="inlineStr">
        <is>
          <t>Conditional</t>
        </is>
      </c>
      <c r="O11" s="4" t="inlineStr">
        <is>
          <t>You may REQUEST an exemption if, in the 12 months before applying, you studied 1+ full year at a post-secondary institution where English is the official language of instruction</t>
        </is>
      </c>
      <c r="P11" s="4" t="inlineStr">
        <is>
          <t>Recommended</t>
        </is>
      </c>
      <c r="Q11" s="4" t="inlineStr">
        <is>
          <t>A complete application needs a research proposal; work with a potential supervisor early</t>
        </is>
      </c>
      <c r="R11" s="4" t="inlineStr">
        <is>
          <t>Guaranteed</t>
        </is>
      </c>
      <c r="S11" s="4" t="inlineStr">
        <is>
          <t>Minimum stipend guaranteed; PhD for four years (TA ~10 h/week in fall/winter contributes)</t>
        </is>
      </c>
      <c r="T11" s="4" t="inlineStr">
        <is>
          <t>Master's usually required</t>
        </is>
      </c>
      <c r="U11" s="4" t="inlineStr">
        <is>
          <t>Research proposal required. OGS applications due March 1.</t>
        </is>
      </c>
      <c r="V11" s="6" t="inlineStr">
        <is>
          <t>https://www.queensu.ca/physics/grad-studies/applicants</t>
        </is>
      </c>
      <c r="W11" s="4" t="inlineStr">
        <is>
          <t>2026-10-21</t>
        </is>
      </c>
    </row>
    <row r="12">
      <c r="A12" s="4" t="inlineStr">
        <is>
          <t>Rice University</t>
        </is>
      </c>
      <c r="B12" s="4" t="inlineStr">
        <is>
          <t>Physics and Astronomy</t>
        </is>
      </c>
      <c r="C12" s="4" t="inlineStr">
        <is>
          <t>USA</t>
        </is>
      </c>
      <c r="D12" s="4" t="inlineStr">
        <is>
          <t>Texas</t>
        </is>
      </c>
      <c r="E12" s="5" t="n">
        <v>46371</v>
      </c>
      <c r="F12" s="4" t="inlineStr">
        <is>
          <t>December 15, 2026, 11:59 EST; late applications considered until April 1, 2027 (less competitive)</t>
        </is>
      </c>
      <c r="G12" s="4" t="n">
        <v>85</v>
      </c>
      <c r="H12" s="4" t="inlineStr">
        <is>
          <t>USD</t>
        </is>
      </c>
      <c r="I12" s="4" t="inlineStr">
        <is>
          <t>Available</t>
        </is>
      </c>
      <c r="J12" s="4" t="inlineStr">
        <is>
          <t>Doctoral Fee Waiver Weeks open to students worldwide Oct 14-Nov 1, 2026 (or until waivers run out); completed application due Nov 27. Also waived for Texas/neighbouring-state students, GCURS speakers, Fulbright Scholars.</t>
        </is>
      </c>
      <c r="K12" s="4" t="inlineStr">
        <is>
          <t>Not considered</t>
        </is>
      </c>
      <c r="L12" s="4" t="inlineStr">
        <is>
          <t>Not considered</t>
        </is>
      </c>
      <c r="M12" s="4" t="inlineStr">
        <is>
          <t>90</t>
        </is>
      </c>
      <c r="N12" s="4" t="inlineStr">
        <is>
          <t>Not stated</t>
        </is>
      </c>
      <c r="O12" s="4" t="inlineStr">
        <is>
          <t>Exemption rules not shown on the department page checked</t>
        </is>
      </c>
      <c r="P12" s="4" t="inlineStr">
        <is>
          <t>Not stated</t>
        </is>
      </c>
      <c r="Q12" s="4" t="inlineStr">
        <is>
          <t>No pre-application supervisor requirement mentioned</t>
        </is>
      </c>
      <c r="R12" s="4" t="inlineStr">
        <is>
          <t>Not stated</t>
        </is>
      </c>
      <c r="S12" s="4" t="inlineStr">
        <is>
          <t>Not stated on the page checked</t>
        </is>
      </c>
      <c r="T12" s="4" t="inlineStr">
        <is>
          <t>Not stated</t>
        </is>
      </c>
      <c r="U12" s="4" t="inlineStr">
        <is>
          <t>Applied Physics is a separate Rice program with its own deadline and fee policy.</t>
        </is>
      </c>
      <c r="V12" s="6" t="inlineStr">
        <is>
          <t>https://physics.rice.edu/how-apply</t>
        </is>
      </c>
      <c r="W12" s="4" t="inlineStr">
        <is>
          <t>2026-10-21</t>
        </is>
      </c>
    </row>
    <row r="13">
      <c r="A13" s="4" t="inlineStr">
        <is>
          <t>Rutgers University (New Brunswick)</t>
        </is>
      </c>
      <c r="B13" s="4" t="inlineStr">
        <is>
          <t>Physics and Astronomy</t>
        </is>
      </c>
      <c r="C13" s="4" t="inlineStr">
        <is>
          <t>USA</t>
        </is>
      </c>
      <c r="D13" s="4" t="inlineStr">
        <is>
          <t>New Jersey</t>
        </is>
      </c>
      <c r="E13" s="5" t="n">
        <v>46388</v>
      </c>
      <c r="F13" s="4" t="inlineStr">
        <is>
          <t>Submit everything before January 1 for full financial-aid consideration (fall). Year inferred.</t>
        </is>
      </c>
      <c r="G13" s="4" t="inlineStr">
        <is>
          <t>Not stated</t>
        </is>
      </c>
      <c r="H13" s="4" t="inlineStr"/>
      <c r="I13" s="4" t="inlineStr">
        <is>
          <t>Limited</t>
        </is>
      </c>
      <c r="J13" s="4" t="inlineStr">
        <is>
          <t>SGS auto-waives for certain groups; department can waive for a few applicants each year, usually used up months before the deadline - ask early</t>
        </is>
      </c>
      <c r="K13" s="4" t="inlineStr">
        <is>
          <t>Recommended</t>
        </is>
      </c>
      <c r="L13" s="4" t="inlineStr">
        <is>
          <t>Recommended</t>
        </is>
      </c>
      <c r="M13" s="4" t="inlineStr">
        <is>
          <t>Not stated</t>
        </is>
      </c>
      <c r="N13" s="4" t="inlineStr">
        <is>
          <t>Yes</t>
        </is>
      </c>
      <c r="O13" s="4" t="inlineStr">
        <is>
          <t>Exempt with 3+ years of undergraduate study or a master's where the mode of instruction was English</t>
        </is>
      </c>
      <c r="P13" s="4" t="inlineStr">
        <is>
          <t>Not stated</t>
        </is>
      </c>
      <c r="Q13" s="4" t="inlineStr">
        <is>
          <t>No pre-application supervisor requirement mentioned</t>
        </is>
      </c>
      <c r="R13" s="4" t="inlineStr">
        <is>
          <t>Guaranteed</t>
        </is>
      </c>
      <c r="S13" s="4" t="inlineStr">
        <is>
          <t>Department generally guarantees PhD support for 5 years</t>
        </is>
      </c>
      <c r="T13" s="4" t="inlineStr">
        <is>
          <t>Not stated</t>
        </is>
      </c>
      <c r="U13" s="4" t="inlineStr">
        <is>
          <t>Final decisions generally before April 15 for complete applications received by January.</t>
        </is>
      </c>
      <c r="V13" s="6" t="inlineStr">
        <is>
          <t>https://physics.rutgers.edu/academics/graduate-program/admissions</t>
        </is>
      </c>
      <c r="W13" s="4" t="inlineStr">
        <is>
          <t>2026-10-21</t>
        </is>
      </c>
    </row>
    <row r="14">
      <c r="A14" s="4" t="inlineStr">
        <is>
          <t>Simon Fraser University</t>
        </is>
      </c>
      <c r="B14" s="4" t="inlineStr">
        <is>
          <t>Department of Physics</t>
        </is>
      </c>
      <c r="C14" s="4" t="inlineStr">
        <is>
          <t>Canada</t>
        </is>
      </c>
      <c r="D14" s="4" t="inlineStr">
        <is>
          <t>British Columbia</t>
        </is>
      </c>
      <c r="E14" s="5" t="n">
        <v>46402</v>
      </c>
      <c r="F14" s="4" t="inlineStr">
        <is>
          <t>Apply before January 15 (better chance at desired group and awards); system open until May 31. Year inferred.</t>
        </is>
      </c>
      <c r="G14" s="4" t="n">
        <v>150</v>
      </c>
      <c r="H14" s="4" t="inlineStr">
        <is>
          <t>CAD</t>
        </is>
      </c>
      <c r="I14" s="4" t="inlineStr">
        <is>
          <t>Not stated</t>
        </is>
      </c>
      <c r="J14" s="4" t="inlineStr">
        <is>
          <t>Not stated on the pages checked</t>
        </is>
      </c>
      <c r="K14" s="4" t="inlineStr">
        <is>
          <t>Not stated</t>
        </is>
      </c>
      <c r="L14" s="4" t="inlineStr">
        <is>
          <t>Not stated</t>
        </is>
      </c>
      <c r="M14" s="4" t="inlineStr">
        <is>
          <t>Not stated</t>
        </is>
      </c>
      <c r="N14" s="4" t="inlineStr">
        <is>
          <t>No</t>
        </is>
      </c>
      <c r="O14" s="4" t="inlineStr">
        <is>
          <t>Exempt only if BOTH: degree taught and examined in English AND institution in an English-primary country (list linked); otherwise submit scores</t>
        </is>
      </c>
      <c r="P14" s="4" t="inlineStr">
        <is>
          <t>Not stated</t>
        </is>
      </c>
      <c r="Q14" s="4" t="inlineStr">
        <is>
          <t>Not stated in the text checked; transfers need supervisory committee approval</t>
        </is>
      </c>
      <c r="R14" s="4" t="inlineStr">
        <is>
          <t>Not stated</t>
        </is>
      </c>
      <c r="S14" s="4" t="inlineStr">
        <is>
          <t>Not stated on the pages checked</t>
        </is>
      </c>
      <c r="T14" s="4" t="inlineStr">
        <is>
          <t>Master's usually required</t>
        </is>
      </c>
      <c r="U14" s="4" t="inlineStr">
        <is>
          <t>PhD starts possible in September, January or May.</t>
        </is>
      </c>
      <c r="V14" s="6" t="inlineStr">
        <is>
          <t>https://www.sfu.ca/physics/graduate/prospective/applying.html</t>
        </is>
      </c>
      <c r="W14" s="4" t="inlineStr">
        <is>
          <t>2026-10-21</t>
        </is>
      </c>
    </row>
    <row r="15">
      <c r="A15" s="4" t="inlineStr">
        <is>
          <t>Stanford University</t>
        </is>
      </c>
      <c r="B15" s="4" t="inlineStr">
        <is>
          <t>Department of Physics</t>
        </is>
      </c>
      <c r="C15" s="4" t="inlineStr">
        <is>
          <t>USA</t>
        </is>
      </c>
      <c r="D15" s="4" t="inlineStr">
        <is>
          <t>California</t>
        </is>
      </c>
      <c r="E15" s="5" t="n">
        <v>46370</v>
      </c>
      <c r="F15" s="4" t="inlineStr">
        <is>
          <t>11:59pm PST, December 14, 2026 (no late applications); Knight-Hennessy applicants: physics application by December 1, 2026</t>
        </is>
      </c>
      <c r="G15" s="4" t="inlineStr">
        <is>
          <t>Not stated</t>
        </is>
      </c>
      <c r="H15" s="4" t="inlineStr"/>
      <c r="I15" s="4" t="inlineStr">
        <is>
          <t>Limited</t>
        </is>
      </c>
      <c r="J15" s="4" t="inlineStr">
        <is>
          <t>Some applicants may qualify; see Stanford Graduate Admissions fee-waiver page for eligibility</t>
        </is>
      </c>
      <c r="K15" s="4" t="inlineStr">
        <is>
          <t>Required</t>
        </is>
      </c>
      <c r="L15" s="4" t="inlineStr">
        <is>
          <t>Required</t>
        </is>
      </c>
      <c r="M15" s="4" t="inlineStr">
        <is>
          <t>Not stated</t>
        </is>
      </c>
      <c r="N15" s="4" t="inlineStr">
        <is>
          <t>Yes</t>
        </is>
      </c>
      <c r="O15" s="4" t="inlineStr">
        <is>
          <t>Not required if your degree (or international equivalent) is from a university where ALL instruction was in English; no documents needed at application</t>
        </is>
      </c>
      <c r="P15" s="4" t="inlineStr">
        <is>
          <t>Not stated</t>
        </is>
      </c>
      <c r="Q15" s="4" t="inlineStr">
        <is>
          <t>No pre-application supervisor requirement mentioned (you choose theory/experiment/astro area)</t>
        </is>
      </c>
      <c r="R15" s="4" t="inlineStr">
        <is>
          <t>Guaranteed</t>
        </is>
      </c>
      <c r="S15" s="4" t="inlineStr">
        <is>
          <t>Department provides financial support for all enrolled students</t>
        </is>
      </c>
      <c r="T15" s="4" t="inlineStr">
        <is>
          <t>Not stated</t>
        </is>
      </c>
      <c r="U15" s="4" t="inlineStr">
        <is>
          <t>Two GRE requirements make Stanford one of the most test-heavy programs this cycle.</t>
        </is>
      </c>
      <c r="V15" s="6" t="inlineStr">
        <is>
          <t>https://physics.stanford.edu/graduate/graduate-admissions</t>
        </is>
      </c>
      <c r="W15" s="4" t="inlineStr">
        <is>
          <t>2026-10-21</t>
        </is>
      </c>
    </row>
    <row r="16">
      <c r="A16" s="4" t="inlineStr">
        <is>
          <t>Stony Brook University (SUNY)</t>
        </is>
      </c>
      <c r="B16" s="4" t="inlineStr">
        <is>
          <t>Physics and Astronomy</t>
        </is>
      </c>
      <c r="C16" s="4" t="inlineStr">
        <is>
          <t>USA</t>
        </is>
      </c>
      <c r="D16" s="4" t="inlineStr">
        <is>
          <t>New York</t>
        </is>
      </c>
      <c r="E16" s="5" t="n">
        <v>46371</v>
      </c>
      <c r="F16" s="4" t="inlineStr">
        <is>
          <t>One strict deadline: December 15 (PhD and MSI, Fall). Year inferred.</t>
        </is>
      </c>
      <c r="G16" s="4" t="n">
        <v>100</v>
      </c>
      <c r="H16" s="4" t="inlineStr">
        <is>
          <t>USD</t>
        </is>
      </c>
      <c r="I16" s="4" t="inlineStr">
        <is>
          <t>Domestic only</t>
        </is>
      </c>
      <c r="J16" s="4" t="inlineStr">
        <is>
          <t>Graduate School waivers for domestic (US) applicants; a separate department program covers fees for Latin American applicants</t>
        </is>
      </c>
      <c r="K16" s="4" t="inlineStr">
        <is>
          <t>Not considered</t>
        </is>
      </c>
      <c r="L16" s="4" t="inlineStr">
        <is>
          <t>Not considered</t>
        </is>
      </c>
      <c r="M16" s="4" t="inlineStr">
        <is>
          <t>5 (new scale)</t>
        </is>
      </c>
      <c r="N16" s="4" t="inlineStr">
        <is>
          <t>Yes</t>
        </is>
      </c>
      <c r="O16" s="4" t="inlineStr">
        <is>
          <t>Exemption examples include a degree from an English-instruction institution</t>
        </is>
      </c>
      <c r="P16" s="4" t="inlineStr">
        <is>
          <t>Not stated</t>
        </is>
      </c>
      <c r="Q16" s="4" t="inlineStr">
        <is>
          <t>No pre-application supervisor requirement mentioned</t>
        </is>
      </c>
      <c r="R16" s="4" t="inlineStr">
        <is>
          <t>Guaranteed</t>
        </is>
      </c>
      <c r="S16" s="4" t="inlineStr">
        <is>
          <t>Full support for the duration; 9-month TA stipend USD 30,000 (+8,000 summer TA); RA salary 41,000 (2026)</t>
        </is>
      </c>
      <c r="T16" s="4" t="inlineStr">
        <is>
          <t>Not stated</t>
        </is>
      </c>
      <c r="U16" s="4" t="inlineStr">
        <is>
          <t>Decisions only after December 15; offers must be accepted by April 15.</t>
        </is>
      </c>
      <c r="V16" s="6" t="inlineStr">
        <is>
          <t>https://www.stonybrook.edu/physics/graduate/apply.html</t>
        </is>
      </c>
      <c r="W16" s="4" t="inlineStr">
        <is>
          <t>2026-10-21</t>
        </is>
      </c>
    </row>
    <row r="17">
      <c r="A17" s="4" t="inlineStr">
        <is>
          <t>Texas A&amp;M University</t>
        </is>
      </c>
      <c r="B17" s="4" t="inlineStr">
        <is>
          <t>Physics and Astronomy</t>
        </is>
      </c>
      <c r="C17" s="4" t="inlineStr">
        <is>
          <t>USA</t>
        </is>
      </c>
      <c r="D17" s="4" t="inlineStr">
        <is>
          <t>Texas</t>
        </is>
      </c>
      <c r="E17" s="5" t="n">
        <v>46397</v>
      </c>
      <c r="F17" s="4" t="inlineStr">
        <is>
          <t>January 10, 2027 (later applications accepted but processed after)</t>
        </is>
      </c>
      <c r="G17" s="4" t="n">
        <v>114</v>
      </c>
      <c r="H17" s="4" t="inlineStr">
        <is>
          <t>USD</t>
        </is>
      </c>
      <c r="I17" s="4" t="inlineStr">
        <is>
          <t>Domestic only</t>
        </is>
      </c>
      <c r="J17" s="4" t="inlineStr">
        <is>
          <t>Automatic waiver for Pell Grant or McNair recipients (U.S. programs); no international route stated on the pages checked</t>
        </is>
      </c>
      <c r="K17" s="4" t="inlineStr">
        <is>
          <t>Optional</t>
        </is>
      </c>
      <c r="L17" s="4" t="inlineStr">
        <is>
          <t>Optional</t>
        </is>
      </c>
      <c r="M17" s="4" t="inlineStr">
        <is>
          <t>Not stated</t>
        </is>
      </c>
      <c r="N17" s="4" t="inlineStr">
        <is>
          <t>Not stated</t>
        </is>
      </c>
      <c r="O17" s="4" t="inlineStr">
        <is>
          <t>Not stated on the pages checked</t>
        </is>
      </c>
      <c r="P17" s="4" t="inlineStr">
        <is>
          <t>Not stated</t>
        </is>
      </c>
      <c r="Q17" s="4" t="inlineStr">
        <is>
          <t>No pre-application supervisor requirement mentioned</t>
        </is>
      </c>
      <c r="R17" s="4" t="inlineStr">
        <is>
          <t>Not stated</t>
        </is>
      </c>
      <c r="S17" s="4" t="inlineStr">
        <is>
          <t>Not stated on the pages checked</t>
        </is>
      </c>
      <c r="T17" s="4" t="inlineStr">
        <is>
          <t>Not stated</t>
        </is>
      </c>
      <c r="U17" s="4" t="inlineStr">
        <is>
          <t>Physics and Astronomy use separate application forms. Decisions must be returned by April 15.</t>
        </is>
      </c>
      <c r="V17" s="6" t="inlineStr">
        <is>
          <t>https://artsci.tamu.edu/physics-astronomy/academics/prospective-graduates/how-to-apply.html</t>
        </is>
      </c>
      <c r="W17" s="4" t="inlineStr">
        <is>
          <t>2026-10-21</t>
        </is>
      </c>
    </row>
    <row r="18">
      <c r="A18" s="4" t="inlineStr">
        <is>
          <t>The Ohio State University</t>
        </is>
      </c>
      <c r="B18" s="4" t="inlineStr">
        <is>
          <t>Department of Physics</t>
        </is>
      </c>
      <c r="C18" s="4" t="inlineStr">
        <is>
          <t>USA</t>
        </is>
      </c>
      <c r="D18" s="4" t="inlineStr">
        <is>
          <t>Ohio</t>
        </is>
      </c>
      <c r="E18" s="5" t="n">
        <v>46356</v>
      </c>
      <c r="F18" s="4" t="inlineStr">
        <is>
          <t>Best consideration: November 30 (international) or December 15 (domestic); December 1 for automatic fellowship nomination; late applications until April 14 with much less funding. Years inferred.</t>
        </is>
      </c>
      <c r="G18" s="4" t="n">
        <v>70</v>
      </c>
      <c r="H18" s="4" t="inlineStr">
        <is>
          <t>USD</t>
        </is>
      </c>
      <c r="I18" s="4" t="inlineStr">
        <is>
          <t>Limited</t>
        </is>
      </c>
      <c r="J18" s="4" t="inlineStr">
        <is>
          <t>Extremely limited; same criteria for international and domestic; based on alignment with the department's mission; none for late submissions</t>
        </is>
      </c>
      <c r="K18" s="4" t="inlineStr">
        <is>
          <t>Optional</t>
        </is>
      </c>
      <c r="L18" s="4" t="inlineStr">
        <is>
          <t>Optional</t>
        </is>
      </c>
      <c r="M18" s="4" t="inlineStr">
        <is>
          <t>Not stated</t>
        </is>
      </c>
      <c r="N18" s="4" t="inlineStr">
        <is>
          <t>No</t>
        </is>
      </c>
      <c r="O18" s="4" t="inlineStr">
        <is>
          <t>Exempt only by citizenship of, or a bachelor's from, a listed country; English-taught courses alone do not exempt you</t>
        </is>
      </c>
      <c r="P18" s="4" t="inlineStr">
        <is>
          <t>Not stated</t>
        </is>
      </c>
      <c r="Q18" s="4" t="inlineStr">
        <is>
          <t>No pre-application supervisor requirement mentioned</t>
        </is>
      </c>
      <c r="R18" s="4" t="inlineStr">
        <is>
          <t>Typical</t>
        </is>
      </c>
      <c r="S18" s="4" t="inlineStr">
        <is>
          <t>TA/RA appointments include a monthly stipend and full tuition and general-fee waiver; RA stipend equals TA stipend</t>
        </is>
      </c>
      <c r="T18" s="4" t="inlineStr">
        <is>
          <t>Direct from bachelor's</t>
        </is>
      </c>
      <c r="U18" s="4" t="inlineStr">
        <is>
          <t>International applicants need a four-year degree (Higher National Diplomas excluded).</t>
        </is>
      </c>
      <c r="V18" s="6" t="inlineStr">
        <is>
          <t>https://physics.osu.edu/graduate/prospective-students</t>
        </is>
      </c>
      <c r="W18" s="4" t="inlineStr">
        <is>
          <t>2026-10-21</t>
        </is>
      </c>
    </row>
    <row r="19">
      <c r="A19" s="4" t="inlineStr">
        <is>
          <t>University of Alberta</t>
        </is>
      </c>
      <c r="B19" s="4" t="inlineStr">
        <is>
          <t>Department of Physics</t>
        </is>
      </c>
      <c r="C19" s="4" t="inlineStr">
        <is>
          <t>Canada</t>
        </is>
      </c>
      <c r="D19" s="4" t="inlineStr">
        <is>
          <t>Alberta</t>
        </is>
      </c>
      <c r="E19" s="5" t="n">
        <v>46357</v>
      </c>
      <c r="F19" s="4" t="inlineStr">
        <is>
          <t>December 1 first-round deadline (widest scholarship consideration); January 8 second round; March 31 final date for Fall intake. Years inferred for Fall 2027.</t>
        </is>
      </c>
      <c r="G19" s="4" t="inlineStr">
        <is>
          <t>Not stated</t>
        </is>
      </c>
      <c r="H19" s="4" t="inlineStr"/>
      <c r="I19" s="4" t="inlineStr">
        <is>
          <t>None</t>
        </is>
      </c>
      <c r="J19" s="4" t="inlineStr">
        <is>
          <t>Department says the fee cannot be waived</t>
        </is>
      </c>
      <c r="K19" s="4" t="inlineStr">
        <is>
          <t>Not stated</t>
        </is>
      </c>
      <c r="L19" s="4" t="inlineStr">
        <is>
          <t>Not stated</t>
        </is>
      </c>
      <c r="M19" s="4" t="inlineStr">
        <is>
          <t>90</t>
        </is>
      </c>
      <c r="N19" s="4" t="inlineStr">
        <is>
          <t>Conditional</t>
        </is>
      </c>
      <c r="O19" s="4" t="inlineStr">
        <is>
          <t>Exempt only if your country or institution is on the FGPS recognized list. For India it lists e.g. IITs (all campuses), IISc, University of Hyderabad, Jadavpur, NIT Calicut; IISERs are NOT listed. Physics will not waive otherwise.</t>
        </is>
      </c>
      <c r="P19" s="4" t="inlineStr">
        <is>
          <t>Not stated</t>
        </is>
      </c>
      <c r="Q19" s="4" t="inlineStr">
        <is>
          <t>Physics pages do not state a pre-application supervisor requirement; FGPS notes some thesis programs require one</t>
        </is>
      </c>
      <c r="R19" s="4" t="inlineStr">
        <is>
          <t>Guaranteed</t>
        </is>
      </c>
      <c r="S19" s="4" t="inlineStr">
        <is>
          <t>Minimum CAD 100,000 over years 1-4 and at least CAD 25,000 in year 1 for PhD students (from Fall 2025); department also commits support for normal program duration</t>
        </is>
      </c>
      <c r="T19" s="4" t="inlineStr">
        <is>
          <t>Either</t>
        </is>
      </c>
      <c r="U19" s="4" t="inlineStr">
        <is>
          <t>Statement of purpose: 500 words max, one page. About 30 graduate admits per year. Committee meets late December, mid-January, late February, late March.</t>
        </is>
      </c>
      <c r="V19" s="6" t="inlineStr">
        <is>
          <t>https://www.ualberta.ca/en/physics/graduate-studies/information-for-prospective-students-and-applicants/deadlines.html</t>
        </is>
      </c>
      <c r="W19" s="4" t="inlineStr">
        <is>
          <t>2026-10-21</t>
        </is>
      </c>
    </row>
    <row r="20">
      <c r="A20" s="4" t="inlineStr">
        <is>
          <t>University of British Columbia (Vancouver)</t>
        </is>
      </c>
      <c r="B20" s="4" t="inlineStr">
        <is>
          <t>Physics and Astronomy</t>
        </is>
      </c>
      <c r="C20" s="4" t="inlineStr">
        <is>
          <t>Canada</t>
        </is>
      </c>
      <c r="D20" s="4" t="inlineStr">
        <is>
          <t>British Columbia</t>
        </is>
      </c>
      <c r="E20" s="5" t="n">
        <v>46357</v>
      </c>
      <c r="F20" s="4" t="inlineStr">
        <is>
          <t>1 December 2026 for September 2027 intake</t>
        </is>
      </c>
      <c r="G20" s="4" t="n">
        <v>168.25</v>
      </c>
      <c r="H20" s="4" t="inlineStr">
        <is>
          <t>CAD</t>
        </is>
      </c>
      <c r="I20" s="4" t="inlineStr">
        <is>
          <t>Limited</t>
        </is>
      </c>
      <c r="J20" s="4" t="inlineStr">
        <is>
          <t>Automatic waiver only for citizens AND residents of the UN's 50 least developed countries (India is not on that list)</t>
        </is>
      </c>
      <c r="K20" s="4" t="inlineStr">
        <is>
          <t>Not required</t>
        </is>
      </c>
      <c r="L20" s="4" t="inlineStr">
        <is>
          <t>Not required</t>
        </is>
      </c>
      <c r="M20" s="4" t="inlineStr">
        <is>
          <t>90</t>
        </is>
      </c>
      <c r="N20" s="4" t="inlineStr">
        <is>
          <t>Yes</t>
        </is>
      </c>
      <c r="O20" s="4" t="inlineStr">
        <is>
          <t>Test required only if your university's primary language of instruction is not English (confirm with the program for your institution)</t>
        </is>
      </c>
      <c r="P20" s="4" t="inlineStr">
        <is>
          <t>Not required</t>
        </is>
      </c>
      <c r="Q20" s="4" t="inlineStr">
        <is>
          <t>Name faculty of interest in the application; no prior commitment needed, but contacting faculty is encouraged</t>
        </is>
      </c>
      <c r="R20" s="4" t="inlineStr">
        <is>
          <t>Guaranteed</t>
        </is>
      </c>
      <c r="S20" s="4" t="inlineStr">
        <is>
          <t>At least CAD 40,000/year for each of the first four PhD years (from September 2026)</t>
        </is>
      </c>
      <c r="T20" s="4" t="inlineStr">
        <is>
          <t>Master's usually required</t>
        </is>
      </c>
      <c r="U20" s="4" t="inlineStr">
        <is>
          <t>Application fee is payable by Visa/Mastercard credit or debit (select 'credit card' for debit). Astronomy PhD is a separate listing.</t>
        </is>
      </c>
      <c r="V20" s="6" t="inlineStr">
        <is>
          <t>https://www.grad.ubc.ca/prospective-students/graduate-degree-programs/phd-physics</t>
        </is>
      </c>
      <c r="W20" s="4" t="inlineStr">
        <is>
          <t>2026-10-21</t>
        </is>
      </c>
    </row>
    <row r="21">
      <c r="A21" s="4" t="inlineStr">
        <is>
          <t>University of Calgary</t>
        </is>
      </c>
      <c r="B21" s="4" t="inlineStr">
        <is>
          <t>Physics and Astronomy</t>
        </is>
      </c>
      <c r="C21" s="4" t="inlineStr">
        <is>
          <t>Canada</t>
        </is>
      </c>
      <c r="D21" s="4" t="inlineStr">
        <is>
          <t>Alberta</t>
        </is>
      </c>
      <c r="E21" s="5" t="n">
        <v>46402</v>
      </c>
      <c r="F21" s="4" t="inlineStr">
        <is>
          <t>January 15 for September admission (Canadian and international); system closes that day. Year inferred.</t>
        </is>
      </c>
      <c r="G21" s="4" t="inlineStr">
        <is>
          <t>Not stated</t>
        </is>
      </c>
      <c r="H21" s="4" t="inlineStr"/>
      <c r="I21" s="4" t="inlineStr">
        <is>
          <t>None</t>
        </is>
      </c>
      <c r="J21" s="4" t="inlineStr">
        <is>
          <t>No fee-waiver program</t>
        </is>
      </c>
      <c r="K21" s="4" t="inlineStr">
        <is>
          <t>Not stated</t>
        </is>
      </c>
      <c r="L21" s="4" t="inlineStr">
        <is>
          <t>Required</t>
        </is>
      </c>
      <c r="M21" s="4" t="inlineStr">
        <is>
          <t>Not stated</t>
        </is>
      </c>
      <c r="N21" s="4" t="inlineStr">
        <is>
          <t>No</t>
        </is>
      </c>
      <c r="O21" s="4" t="inlineStr">
        <is>
          <t>Test required if your degree is from a country where English is not a native language (English-taught courses alone do not exempt you)</t>
        </is>
      </c>
      <c r="P21" s="4" t="inlineStr">
        <is>
          <t>Required</t>
        </is>
      </c>
      <c r="Q21" s="4" t="inlineStr">
        <is>
          <t>No supervisor needed to apply, but you are admitted only if at least one potential supervisor will fund you; contacting faculty first helps</t>
        </is>
      </c>
      <c r="R21" s="4" t="inlineStr">
        <is>
          <t>Guaranteed</t>
        </is>
      </c>
      <c r="S21" s="4" t="inlineStr">
        <is>
          <t>All admitted full-time thesis students are funded (tuition still payable)</t>
        </is>
      </c>
      <c r="T21" s="4" t="inlineStr">
        <is>
          <t>Not stated</t>
        </is>
      </c>
      <c r="U21" s="4" t="inlineStr">
        <is>
          <t>First-round offers take at least a month after January 15.</t>
        </is>
      </c>
      <c r="V21" s="6" t="inlineStr">
        <is>
          <t>https://grad.ucalgary.ca/future-students/graduate/discover-opportunities/explore-programs/physics-and-astronomy-phd</t>
        </is>
      </c>
      <c r="W21" s="4" t="inlineStr">
        <is>
          <t>2026-10-21</t>
        </is>
      </c>
    </row>
    <row r="22">
      <c r="A22" s="4" t="inlineStr">
        <is>
          <t>University of California, Berkeley</t>
        </is>
      </c>
      <c r="B22" s="4" t="inlineStr">
        <is>
          <t>Department of Physics</t>
        </is>
      </c>
      <c r="C22" s="4" t="inlineStr">
        <is>
          <t>USA</t>
        </is>
      </c>
      <c r="D22" s="4" t="inlineStr">
        <is>
          <t>California</t>
        </is>
      </c>
      <c r="E22" s="5" t="n">
        <v>46371</v>
      </c>
      <c r="F22" s="4" t="inlineStr">
        <is>
          <t>December 15, 2026, 8:59 PM Pacific for Fall 2027; application should be complete incl. letters</t>
        </is>
      </c>
      <c r="G22" s="4" t="inlineStr">
        <is>
          <t>Not stated</t>
        </is>
      </c>
      <c r="H22" s="4" t="inlineStr"/>
      <c r="I22" s="4" t="inlineStr">
        <is>
          <t>Domestic only</t>
        </is>
      </c>
      <c r="J22" s="4" t="inlineStr">
        <is>
          <t>Graduate Division waivers are for U.S. citizens/permanent residents</t>
        </is>
      </c>
      <c r="K22" s="4" t="inlineStr">
        <is>
          <t>Recommended</t>
        </is>
      </c>
      <c r="L22" s="4" t="inlineStr">
        <is>
          <t>Required</t>
        </is>
      </c>
      <c r="M22" s="4" t="inlineStr">
        <is>
          <t>90</t>
        </is>
      </c>
      <c r="N22" s="4" t="inlineStr">
        <is>
          <t>No</t>
        </is>
      </c>
      <c r="O22" s="4" t="inlineStr">
        <is>
          <t>Exemption depends on the country of your bachelor's institution; India is not on Berkeley's exempt list (a U.S.-accredited institution abroad would qualify)</t>
        </is>
      </c>
      <c r="P22" s="4" t="inlineStr">
        <is>
          <t>Not stated</t>
        </is>
      </c>
      <c r="Q22" s="4" t="inlineStr">
        <is>
          <t>No pre-application supervisor requirement mentioned</t>
        </is>
      </c>
      <c r="R22" s="4" t="inlineStr">
        <is>
          <t>Not stated</t>
        </is>
      </c>
      <c r="S22" s="4" t="inlineStr">
        <is>
          <t>Not stated on the admissions page checked</t>
        </is>
      </c>
      <c r="T22" s="4" t="inlineStr">
        <is>
          <t>Not stated</t>
        </is>
      </c>
      <c r="U22" s="4" t="inlineStr">
        <is>
          <t>Review starts immediately after the deadline; late letters may not be reviewed. Fall grades are not added after December 15.</t>
        </is>
      </c>
      <c r="V22" s="6" t="inlineStr">
        <is>
          <t>https://physics.berkeley.edu/academic/graduate-degree/graduate-admissions</t>
        </is>
      </c>
      <c r="W22" s="4" t="inlineStr">
        <is>
          <t>2026-10-21</t>
        </is>
      </c>
    </row>
    <row r="23">
      <c r="A23" s="4" t="inlineStr">
        <is>
          <t>University of California, Santa Barbara</t>
        </is>
      </c>
      <c r="B23" s="4" t="inlineStr">
        <is>
          <t>Department of Physics</t>
        </is>
      </c>
      <c r="C23" s="4" t="inlineStr">
        <is>
          <t>USA</t>
        </is>
      </c>
      <c r="D23" s="4" t="inlineStr">
        <is>
          <t>California</t>
        </is>
      </c>
      <c r="E23" s="5" t="n">
        <v>46372</v>
      </c>
      <c r="F23" s="4" t="inlineStr">
        <is>
          <t>December 16, 2026, 11:59 PM PST (Fall quarter only)</t>
        </is>
      </c>
      <c r="G23" s="4" t="n">
        <v>155</v>
      </c>
      <c r="H23" s="4" t="inlineStr">
        <is>
          <t>USD</t>
        </is>
      </c>
      <c r="I23" s="4" t="inlineStr">
        <is>
          <t>Domestic only</t>
        </is>
      </c>
      <c r="J23" s="4" t="inlineStr">
        <is>
          <t>Fee waivers are not available to international applicants</t>
        </is>
      </c>
      <c r="K23" s="4" t="inlineStr">
        <is>
          <t>Not considered</t>
        </is>
      </c>
      <c r="L23" s="4" t="inlineStr">
        <is>
          <t>Not considered</t>
        </is>
      </c>
      <c r="M23" s="4" t="inlineStr">
        <is>
          <t>80</t>
        </is>
      </c>
      <c r="N23" s="4" t="inlineStr">
        <is>
          <t>Not stated</t>
        </is>
      </c>
      <c r="O23" s="4" t="inlineStr">
        <is>
          <t>Required if native language is not English; exemptions not shown on the page checked</t>
        </is>
      </c>
      <c r="P23" s="4" t="inlineStr">
        <is>
          <t>Recommended</t>
        </is>
      </c>
      <c r="Q23" s="4" t="inlineStr">
        <is>
          <t>Strongly encouraged to contact faculty early and list potential advisors</t>
        </is>
      </c>
      <c r="R23" s="4" t="inlineStr">
        <is>
          <t>Not stated</t>
        </is>
      </c>
      <c r="S23" s="4" t="inlineStr">
        <is>
          <t>Not stated on the page checked</t>
        </is>
      </c>
      <c r="T23" s="4" t="inlineStr">
        <is>
          <t>Not stated</t>
        </is>
      </c>
      <c r="U23" s="4" t="inlineStr">
        <is>
          <t>IELTS requirement (7.0) is higher than most programs in this list.</t>
        </is>
      </c>
      <c r="V23" s="6" t="inlineStr">
        <is>
          <t>https://www.physics.ucsb.edu/academics/graduate/apply</t>
        </is>
      </c>
      <c r="W23" s="4" t="inlineStr">
        <is>
          <t>2026-10-21</t>
        </is>
      </c>
    </row>
    <row r="24">
      <c r="A24" s="4" t="inlineStr">
        <is>
          <t>University of Chicago</t>
        </is>
      </c>
      <c r="B24" s="4" t="inlineStr">
        <is>
          <t>Department of Physics</t>
        </is>
      </c>
      <c r="C24" s="4" t="inlineStr">
        <is>
          <t>USA</t>
        </is>
      </c>
      <c r="D24" s="4" t="inlineStr">
        <is>
          <t>Illinois</t>
        </is>
      </c>
      <c r="E24" s="5" t="n">
        <v>46370</v>
      </c>
      <c r="F24" s="4" t="inlineStr">
        <is>
          <t>December 14, 2026</t>
        </is>
      </c>
      <c r="G24" s="4" t="n">
        <v>90</v>
      </c>
      <c r="H24" s="4" t="inlineStr">
        <is>
          <t>USD</t>
        </is>
      </c>
      <c r="I24" s="4" t="inlineStr">
        <is>
          <t>Limited</t>
        </is>
      </c>
      <c r="J24" s="4" t="inlineStr">
        <is>
          <t>Specific fee-waiver categories exist (PSD); request through the application portal before paying</t>
        </is>
      </c>
      <c r="K24" s="4" t="inlineStr">
        <is>
          <t>Not required</t>
        </is>
      </c>
      <c r="L24" s="4" t="inlineStr">
        <is>
          <t>Required</t>
        </is>
      </c>
      <c r="M24" s="4" t="inlineStr">
        <is>
          <t>Not stated</t>
        </is>
      </c>
      <c r="N24" s="4" t="inlineStr">
        <is>
          <t>Not stated</t>
        </is>
      </c>
      <c r="O24" s="4" t="inlineStr">
        <is>
          <t>PSD has waiver criteria; criteria not shown in the text checked</t>
        </is>
      </c>
      <c r="P24" s="4" t="inlineStr">
        <is>
          <t>Not stated</t>
        </is>
      </c>
      <c r="Q24" s="4" t="inlineStr">
        <is>
          <t>No pre-application supervisor requirement mentioned</t>
        </is>
      </c>
      <c r="R24" s="4" t="inlineStr">
        <is>
          <t>Not stated</t>
        </is>
      </c>
      <c r="S24" s="4" t="inlineStr">
        <is>
          <t>PhD programs are funded (stipend timing noted); amounts not stated on the pages checked</t>
        </is>
      </c>
      <c r="T24" s="4" t="inlineStr">
        <is>
          <t>Not stated</t>
        </is>
      </c>
      <c r="U24" s="4" t="inlineStr">
        <is>
          <t>Do not pay the fee before a waiver decision; fees paid before an approved waiver are not refunded (per PSD).</t>
        </is>
      </c>
      <c r="V24" s="6" t="inlineStr">
        <is>
          <t>https://physicsrecruitment.psd.uchicago.edu/apply/</t>
        </is>
      </c>
      <c r="W24" s="4" t="inlineStr">
        <is>
          <t>2026-10-21</t>
        </is>
      </c>
    </row>
    <row r="25">
      <c r="A25" s="4" t="inlineStr">
        <is>
          <t>University of Illinois Urbana-Champaign</t>
        </is>
      </c>
      <c r="B25" s="4" t="inlineStr">
        <is>
          <t>Department of Physics</t>
        </is>
      </c>
      <c r="C25" s="4" t="inlineStr">
        <is>
          <t>USA</t>
        </is>
      </c>
      <c r="D25" s="4" t="inlineStr">
        <is>
          <t>Illinois</t>
        </is>
      </c>
      <c r="E25" s="5" t="n">
        <v>46402</v>
      </c>
      <c r="F25" s="4" t="inlineStr">
        <is>
          <t>January 15, 2027 for Fall 2027; all materials incl. letters and official scores by that date</t>
        </is>
      </c>
      <c r="G25" s="4" t="n">
        <v>90</v>
      </c>
      <c r="H25" s="4" t="inlineStr">
        <is>
          <t>USD</t>
        </is>
      </c>
      <c r="I25" s="4" t="inlineStr">
        <is>
          <t>Not stated</t>
        </is>
      </c>
      <c r="J25" s="4" t="inlineStr">
        <is>
          <t>No international fee-waiver route stated on the department pages checked</t>
        </is>
      </c>
      <c r="K25" s="4" t="inlineStr">
        <is>
          <t>Optional</t>
        </is>
      </c>
      <c r="L25" s="4" t="inlineStr">
        <is>
          <t>Optional</t>
        </is>
      </c>
      <c r="M25" s="4" t="inlineStr">
        <is>
          <t>Not stated</t>
        </is>
      </c>
      <c r="N25" s="4" t="inlineStr">
        <is>
          <t>No</t>
        </is>
      </c>
      <c r="O25" s="4" t="inlineStr">
        <is>
          <t>Exemption only for degrees/study in the U.S. or an approved English-primary country; India is not on the Graduate College's approved list</t>
        </is>
      </c>
      <c r="P25" s="4" t="inlineStr">
        <is>
          <t>Not stated</t>
        </is>
      </c>
      <c r="Q25" s="4" t="inlineStr">
        <is>
          <t>Admission is decided by the department committee; no pre-application supervisor requirement mentioned on the pages checked</t>
        </is>
      </c>
      <c r="R25" s="4" t="inlineStr">
        <is>
          <t>Typical</t>
        </is>
      </c>
      <c r="S25" s="4" t="inlineStr">
        <is>
          <t>Most admitted students are offered a Teaching Assistantship</t>
        </is>
      </c>
      <c r="T25" s="4" t="inlineStr">
        <is>
          <t>Direct from bachelor's</t>
        </is>
      </c>
      <c r="U25" s="4" t="inlineStr">
        <is>
          <t>Three letters of reference. Incomplete applications after January 15 are not considered.</t>
        </is>
      </c>
      <c r="V25" s="6" t="inlineStr">
        <is>
          <t>https://physics.illinois.edu/admissions/graduates/apply</t>
        </is>
      </c>
      <c r="W25" s="4" t="inlineStr">
        <is>
          <t>2026-10-21</t>
        </is>
      </c>
    </row>
    <row r="26">
      <c r="A26" s="4" t="inlineStr">
        <is>
          <t>University of Maryland, College Park</t>
        </is>
      </c>
      <c r="B26" s="4" t="inlineStr">
        <is>
          <t>Department of Physics</t>
        </is>
      </c>
      <c r="C26" s="4" t="inlineStr">
        <is>
          <t>USA</t>
        </is>
      </c>
      <c r="D26" s="4" t="inlineStr">
        <is>
          <t>Maryland</t>
        </is>
      </c>
      <c r="E26" s="5" t="n">
        <v>46367</v>
      </c>
      <c r="F26" s="4" t="inlineStr">
        <is>
          <t>December 11, 2026 for Fall 2027 (domestic and international)</t>
        </is>
      </c>
      <c r="G26" s="4" t="inlineStr">
        <is>
          <t>Not stated</t>
        </is>
      </c>
      <c r="H26" s="4" t="inlineStr"/>
      <c r="I26" s="4" t="inlineStr">
        <is>
          <t>Not stated</t>
        </is>
      </c>
      <c r="J26" s="4" t="inlineStr">
        <is>
          <t>Not stated on the pages checked</t>
        </is>
      </c>
      <c r="K26" s="4" t="inlineStr">
        <is>
          <t>Not stated</t>
        </is>
      </c>
      <c r="L26" s="4" t="inlineStr">
        <is>
          <t>Optional</t>
        </is>
      </c>
      <c r="M26" s="4" t="inlineStr">
        <is>
          <t>Not stated</t>
        </is>
      </c>
      <c r="N26" s="4" t="inlineStr">
        <is>
          <t>Not stated</t>
        </is>
      </c>
      <c r="O26" s="4" t="inlineStr">
        <is>
          <t>Not stated on the page checked</t>
        </is>
      </c>
      <c r="P26" s="4" t="inlineStr">
        <is>
          <t>Not stated</t>
        </is>
      </c>
      <c r="Q26" s="4" t="inlineStr">
        <is>
          <t>No pre-application supervisor requirement mentioned</t>
        </is>
      </c>
      <c r="R26" s="4" t="inlineStr">
        <is>
          <t>Typical</t>
        </is>
      </c>
      <c r="S26" s="4" t="inlineStr">
        <is>
          <t>Virtually all PhD students have full support for the duration</t>
        </is>
      </c>
      <c r="T26" s="4" t="inlineStr">
        <is>
          <t>Not stated</t>
        </is>
      </c>
      <c r="U26" s="4" t="inlineStr">
        <is>
          <t>Three letters of recommendation; supplementary application required. Department site was unreachable (HTTP 502) on the check date.</t>
        </is>
      </c>
      <c r="V26" s="6" t="inlineStr">
        <is>
          <t>https://academiccatalog.umd.edu/graduate/programs/physics-phys/</t>
        </is>
      </c>
      <c r="W26" s="4" t="inlineStr">
        <is>
          <t>2026-10-21</t>
        </is>
      </c>
    </row>
    <row r="27">
      <c r="A27" s="4" t="inlineStr">
        <is>
          <t>University of Minnesota (Twin Cities)</t>
        </is>
      </c>
      <c r="B27" s="4" t="inlineStr">
        <is>
          <t>School of Physics and Astronomy</t>
        </is>
      </c>
      <c r="C27" s="4" t="inlineStr">
        <is>
          <t>USA</t>
        </is>
      </c>
      <c r="D27" s="4" t="inlineStr">
        <is>
          <t>Minnesota</t>
        </is>
      </c>
      <c r="E27" s="5" t="n">
        <v>46371</v>
      </c>
      <c r="F27" s="4" t="inlineStr">
        <is>
          <t>December 15 for the following fall (window September-December). Year inferred.</t>
        </is>
      </c>
      <c r="G27" s="4" t="inlineStr">
        <is>
          <t>Not stated</t>
        </is>
      </c>
      <c r="H27" s="4" t="inlineStr"/>
      <c r="I27" s="4" t="inlineStr">
        <is>
          <t>Not stated</t>
        </is>
      </c>
      <c r="J27" s="4" t="inlineStr">
        <is>
          <t>Not stated on the page checked</t>
        </is>
      </c>
      <c r="K27" s="4" t="inlineStr">
        <is>
          <t>Not considered</t>
        </is>
      </c>
      <c r="L27" s="4" t="inlineStr">
        <is>
          <t>Not considered</t>
        </is>
      </c>
      <c r="M27" s="4" t="inlineStr">
        <is>
          <t>79</t>
        </is>
      </c>
      <c r="N27" s="4" t="inlineStr">
        <is>
          <t>Not stated</t>
        </is>
      </c>
      <c r="O27" s="4" t="inlineStr">
        <is>
          <t>Exemption rules not shown on the page checked</t>
        </is>
      </c>
      <c r="P27" s="4" t="inlineStr">
        <is>
          <t>Not stated</t>
        </is>
      </c>
      <c r="Q27" s="4" t="inlineStr">
        <is>
          <t>No pre-application supervisor requirement mentioned</t>
        </is>
      </c>
      <c r="R27" s="4" t="inlineStr">
        <is>
          <t>Not stated</t>
        </is>
      </c>
      <c r="S27" s="4" t="inlineStr">
        <is>
          <t>Not stated on the page checked</t>
        </is>
      </c>
      <c r="T27" s="4" t="inlineStr">
        <is>
          <t>Not stated</t>
        </is>
      </c>
      <c r="U27" s="4" t="inlineStr">
        <is>
          <t>Department does not send acknowledgements or missing-item notices; check the portal yourself.</t>
        </is>
      </c>
      <c r="V27" s="6" t="inlineStr">
        <is>
          <t>https://cse.umn.edu/physics/graduate-admissions</t>
        </is>
      </c>
      <c r="W27" s="4" t="inlineStr">
        <is>
          <t>2026-10-21</t>
        </is>
      </c>
    </row>
    <row r="28">
      <c r="A28" s="4" t="inlineStr">
        <is>
          <t>University of Ottawa (Ottawa-Carleton Institute for Physics)</t>
        </is>
      </c>
      <c r="B28" s="4" t="inlineStr">
        <is>
          <t>Department of Physics</t>
        </is>
      </c>
      <c r="C28" s="4" t="inlineStr">
        <is>
          <t>Canada</t>
        </is>
      </c>
      <c r="D28" s="4" t="inlineStr">
        <is>
          <t>Ontario</t>
        </is>
      </c>
      <c r="E28" s="4" t="inlineStr">
        <is>
          <t>Not stated</t>
        </is>
      </c>
      <c r="F28" s="4" t="inlineStr">
        <is>
          <t>Physics-specific deadline not shown on the catalogue page checked</t>
        </is>
      </c>
      <c r="G28" s="4" t="inlineStr">
        <is>
          <t>Not stated</t>
        </is>
      </c>
      <c r="H28" s="4" t="inlineStr"/>
      <c r="I28" s="4" t="inlineStr">
        <is>
          <t>Not stated</t>
        </is>
      </c>
      <c r="J28" s="4" t="inlineStr">
        <is>
          <t>Not stated on the page checked</t>
        </is>
      </c>
      <c r="K28" s="4" t="inlineStr">
        <is>
          <t>Not stated</t>
        </is>
      </c>
      <c r="L28" s="4" t="inlineStr">
        <is>
          <t>Not stated</t>
        </is>
      </c>
      <c r="M28" s="4" t="inlineStr">
        <is>
          <t>Not stated</t>
        </is>
      </c>
      <c r="N28" s="4" t="inlineStr">
        <is>
          <t>Not stated</t>
        </is>
      </c>
      <c r="O28" s="4" t="inlineStr">
        <is>
          <t>Exemption rules not shown on the page checked</t>
        </is>
      </c>
      <c r="P28" s="4" t="inlineStr">
        <is>
          <t>Required</t>
        </is>
      </c>
      <c r="Q28" s="4" t="inlineStr">
        <is>
          <t>Supervisor's name required AT APPLICATION; you must be accepted by a thesis supervisor to register</t>
        </is>
      </c>
      <c r="R28" s="4" t="inlineStr">
        <is>
          <t>Not stated</t>
        </is>
      </c>
      <c r="S28" s="4" t="inlineStr">
        <is>
          <t>International students must show financial support (supervisor stipend plus awards/trust funds)</t>
        </is>
      </c>
      <c r="T28" s="4" t="inlineStr">
        <is>
          <t>Master's usually required</t>
        </is>
      </c>
      <c r="U28" s="4" t="inlineStr">
        <is>
          <t>Joint uOttawa-Carleton institute; your supervisor's home university awards the degree.</t>
        </is>
      </c>
      <c r="V28" s="6" t="inlineStr">
        <is>
          <t>https://catalogue.uottawa.ca/en/graduate/doctorate-philosophy-physics/</t>
        </is>
      </c>
      <c r="W28" s="4" t="inlineStr">
        <is>
          <t>2026-10-21</t>
        </is>
      </c>
    </row>
    <row r="29">
      <c r="A29" s="4" t="inlineStr">
        <is>
          <t>University of Texas at Austin</t>
        </is>
      </c>
      <c r="B29" s="4" t="inlineStr">
        <is>
          <t>Department of Physics</t>
        </is>
      </c>
      <c r="C29" s="4" t="inlineStr">
        <is>
          <t>USA</t>
        </is>
      </c>
      <c r="D29" s="4" t="inlineStr">
        <is>
          <t>Texas</t>
        </is>
      </c>
      <c r="E29" s="5" t="n">
        <v>46357</v>
      </c>
      <c r="F29" s="4" t="inlineStr">
        <is>
          <t>1 December, 11:59 p.m. CST for Fall admission (one-week grace period stated). Year inferred for Fall 2027.</t>
        </is>
      </c>
      <c r="G29" s="4" t="n">
        <v>90</v>
      </c>
      <c r="H29" s="4" t="inlineStr">
        <is>
          <t>USD</t>
        </is>
      </c>
      <c r="I29" s="4" t="inlineStr">
        <is>
          <t>Limited</t>
        </is>
      </c>
      <c r="J29" s="4" t="inlineStr">
        <is>
          <t>Graduate School waivers for applicants meeting certain criteria; department not involved. Check criteria for international eligibility.</t>
        </is>
      </c>
      <c r="K29" s="4" t="inlineStr">
        <is>
          <t>Not considered</t>
        </is>
      </c>
      <c r="L29" s="4" t="inlineStr">
        <is>
          <t>Optional</t>
        </is>
      </c>
      <c r="M29" s="4" t="inlineStr">
        <is>
          <t>79</t>
        </is>
      </c>
      <c r="N29" s="4" t="inlineStr">
        <is>
          <t>Yes</t>
        </is>
      </c>
      <c r="O29" s="4" t="inlineStr">
        <is>
          <t>India is on UT's list of qualifying countries exempt from TOEFL/IELTS (also exempt with a bachelor's from a U.S./qualifying-country institution)</t>
        </is>
      </c>
      <c r="P29" s="4" t="inlineStr">
        <is>
          <t>Not stated</t>
        </is>
      </c>
      <c r="Q29" s="4" t="inlineStr">
        <is>
          <t>Admission is decided by the department committee; no pre-application supervisor requirement mentioned on the pages checked</t>
        </is>
      </c>
      <c r="R29" s="4" t="inlineStr">
        <is>
          <t>Not stated</t>
        </is>
      </c>
      <c r="S29" s="4" t="inlineStr">
        <is>
          <t>PhD funding terms not stated on the admissions page (master's applicants get no support)</t>
        </is>
      </c>
      <c r="T29" s="4" t="inlineStr">
        <is>
          <t>Direct from bachelor's</t>
        </is>
      </c>
      <c r="U29" s="4" t="inlineStr">
        <is>
          <t>Review begins mid-January; international decisions typically early to mid-March.</t>
        </is>
      </c>
      <c r="V29" s="6" t="inlineStr">
        <is>
          <t>https://physics.utexas.edu/academics/admissions</t>
        </is>
      </c>
      <c r="W29" s="4" t="inlineStr">
        <is>
          <t>2026-10-21</t>
        </is>
      </c>
    </row>
    <row r="30">
      <c r="A30" s="4" t="inlineStr">
        <is>
          <t>University of Toronto</t>
        </is>
      </c>
      <c r="B30" s="4" t="inlineStr">
        <is>
          <t>Department of Physics</t>
        </is>
      </c>
      <c r="C30" s="4" t="inlineStr">
        <is>
          <t>Canada</t>
        </is>
      </c>
      <c r="D30" s="4" t="inlineStr">
        <is>
          <t>Ontario</t>
        </is>
      </c>
      <c r="E30" s="5" t="n">
        <v>46367</v>
      </c>
      <c r="F30" s="4" t="inlineStr">
        <is>
          <t>December 11, 11:59pm, all materials including both reference letters. Year inferred for September 2027 entry.</t>
        </is>
      </c>
      <c r="G30" s="4" t="n">
        <v>135</v>
      </c>
      <c r="H30" s="4" t="inlineStr">
        <is>
          <t>CAD</t>
        </is>
      </c>
      <c r="I30" s="4" t="inlineStr">
        <is>
          <t>None</t>
        </is>
      </c>
      <c r="J30" s="4" t="inlineStr">
        <is>
          <t>Fee cannot be waived under any circumstances</t>
        </is>
      </c>
      <c r="K30" s="4" t="inlineStr">
        <is>
          <t>Not required</t>
        </is>
      </c>
      <c r="L30" s="4" t="inlineStr">
        <is>
          <t>Not required</t>
        </is>
      </c>
      <c r="M30" s="4" t="inlineStr">
        <is>
          <t>93</t>
        </is>
      </c>
      <c r="N30" s="4" t="inlineStr">
        <is>
          <t>Yes</t>
        </is>
      </c>
      <c r="O30" s="4" t="inlineStr">
        <is>
          <t>No test if your degree is from a university where instruction AND examination are in English; an official letter is needed unless the transcript says so</t>
        </is>
      </c>
      <c r="P30" s="4" t="inlineStr">
        <is>
          <t>Not required</t>
        </is>
      </c>
      <c r="Q30" s="4" t="inlineStr">
        <is>
          <t>No supervisor needed to apply; MSc and 5-year direct-entry PhD students pick one after arrival; 4-year PhD entrants (with a master's) must secure one before registration, typically by May</t>
        </is>
      </c>
      <c r="R30" s="4" t="inlineStr">
        <is>
          <t>Not stated</t>
        </is>
      </c>
      <c r="S30" s="4" t="inlineStr">
        <is>
          <t>Funding package not described on the admissions pages checked</t>
        </is>
      </c>
      <c r="T30" s="4" t="inlineStr">
        <is>
          <t>Either</t>
        </is>
      </c>
      <c r="U30" s="4" t="inlineStr">
        <is>
          <t>Exactly two reference letters (no more). January start is domestic-only.</t>
        </is>
      </c>
      <c r="V30" s="6" t="inlineStr">
        <is>
          <t>https://www.physics.utoronto.ca/graduate/prospective-students/graduate-admissions-department-physics/application-procedure/</t>
        </is>
      </c>
      <c r="W30" s="4" t="inlineStr">
        <is>
          <t>2026-10-21</t>
        </is>
      </c>
    </row>
    <row r="31">
      <c r="A31" s="4" t="inlineStr">
        <is>
          <t>University of Waterloo</t>
        </is>
      </c>
      <c r="B31" s="4" t="inlineStr">
        <is>
          <t>Physics and Astronomy</t>
        </is>
      </c>
      <c r="C31" s="4" t="inlineStr">
        <is>
          <t>Canada</t>
        </is>
      </c>
      <c r="D31" s="4" t="inlineStr">
        <is>
          <t>Ontario</t>
        </is>
      </c>
      <c r="E31" s="5" t="n">
        <v>46396</v>
      </c>
      <c r="F31" s="4" t="inlineStr">
        <is>
          <t>January 9 for September admission (early applications encouraged). Year inferred for September 2027 entry.</t>
        </is>
      </c>
      <c r="G31" s="4" t="n">
        <v>150</v>
      </c>
      <c r="H31" s="4" t="inlineStr">
        <is>
          <t>CAD</t>
        </is>
      </c>
      <c r="I31" s="4" t="inlineStr">
        <is>
          <t>Not stated</t>
        </is>
      </c>
      <c r="J31" s="4" t="inlineStr">
        <is>
          <t>No fee-waiver route stated on the pages checked</t>
        </is>
      </c>
      <c r="K31" s="4" t="inlineStr">
        <is>
          <t>Not stated</t>
        </is>
      </c>
      <c r="L31" s="4" t="inlineStr">
        <is>
          <t>Recommended</t>
        </is>
      </c>
      <c r="M31" s="4" t="inlineStr">
        <is>
          <t>90</t>
        </is>
      </c>
      <c r="N31" s="4" t="inlineStr">
        <is>
          <t>Conditional</t>
        </is>
      </c>
      <c r="O31" s="4" t="inlineStr">
        <is>
          <t>Exempt only if 3+ years of study at a university listed in WHED with English as the ONLY language of instruction; exemption expires 2 years after graduation; medium-of-instruction letters are not accepted</t>
        </is>
      </c>
      <c r="P31" s="4" t="inlineStr">
        <is>
          <t>Required</t>
        </is>
      </c>
      <c r="Q31" s="4" t="inlineStr">
        <is>
          <t>Admission requires a faculty member willing to supervise you; contact before or after applying and name supervisors on the application</t>
        </is>
      </c>
      <c r="R31" s="4" t="inlineStr">
        <is>
          <t>Guaranteed</t>
        </is>
      </c>
      <c r="S31" s="4" t="inlineStr">
        <is>
          <t>Funding package for all graduate students within program time limits (GRS, TA, awards); TA two of three terms</t>
        </is>
      </c>
      <c r="T31" s="4" t="inlineStr">
        <is>
          <t>Master's usually required</t>
        </is>
      </c>
      <c r="U31" s="4" t="inlineStr">
        <is>
          <t>Physics PhD streams include Nanotechnology and Quantum Information (IQC, Perimeter affiliations).</t>
        </is>
      </c>
      <c r="V31" s="6" t="inlineStr">
        <is>
          <t>https://uwaterloo.ca/physics-astronomy/graduate-studies/how-apply</t>
        </is>
      </c>
      <c r="W31" s="4" t="inlineStr">
        <is>
          <t>2026-10-21</t>
        </is>
      </c>
    </row>
    <row r="32">
      <c r="A32" s="4" t="inlineStr">
        <is>
          <t>University of Wisconsin-Madison</t>
        </is>
      </c>
      <c r="B32" s="4" t="inlineStr">
        <is>
          <t>Department of Physics</t>
        </is>
      </c>
      <c r="C32" s="4" t="inlineStr">
        <is>
          <t>USA</t>
        </is>
      </c>
      <c r="D32" s="4" t="inlineStr">
        <is>
          <t>Wisconsin</t>
        </is>
      </c>
      <c r="E32" s="5" t="n">
        <v>46371</v>
      </c>
      <c r="F32" s="4" t="inlineStr">
        <is>
          <t>December 15, 2026 for Fall 2027 (all materials via the Graduate School application)</t>
        </is>
      </c>
      <c r="G32" s="4" t="inlineStr">
        <is>
          <t>Not stated</t>
        </is>
      </c>
      <c r="H32" s="4" t="inlineStr"/>
      <c r="I32" s="4" t="inlineStr">
        <is>
          <t>Domestic only</t>
        </is>
      </c>
      <c r="J32" s="4" t="inlineStr">
        <is>
          <t>Department gives no waivers; Graduate School fee grants are for U.S. citizens and permanent residents only</t>
        </is>
      </c>
      <c r="K32" s="4" t="inlineStr">
        <is>
          <t>Not considered</t>
        </is>
      </c>
      <c r="L32" s="4" t="inlineStr">
        <is>
          <t>Optional</t>
        </is>
      </c>
      <c r="M32" s="4" t="inlineStr">
        <is>
          <t>92</t>
        </is>
      </c>
      <c r="N32" s="4" t="inlineStr">
        <is>
          <t>Check tool</t>
        </is>
      </c>
      <c r="O32" s="4" t="inlineStr">
        <is>
          <t>Graduate School decides via a country-selector tool; result for India not shown in static page text</t>
        </is>
      </c>
      <c r="P32" s="4" t="inlineStr">
        <is>
          <t>Not required</t>
        </is>
      </c>
      <c r="Q32" s="4" t="inlineStr">
        <is>
          <t>Advisor chosen after entry; early selection encouraged; any physics faculty or affiliate</t>
        </is>
      </c>
      <c r="R32" s="4" t="inlineStr">
        <is>
          <t>Guaranteed</t>
        </is>
      </c>
      <c r="S32" s="4" t="inlineStr">
        <is>
          <t>Five years of financial support guaranteed for admitted PhD students</t>
        </is>
      </c>
      <c r="T32" s="4" t="inlineStr">
        <is>
          <t>Direct from bachelor's</t>
        </is>
      </c>
      <c r="U32" s="4" t="inlineStr">
        <is>
          <t>Official GRE/TOEFL scores must come directly from ETS. Segregated fees about $800/semester for full-time students.</t>
        </is>
      </c>
      <c r="V32" s="6" t="inlineStr">
        <is>
          <t>https://www.physics.wisc.edu/graduate/phd-program/</t>
        </is>
      </c>
      <c r="W32" s="4" t="inlineStr">
        <is>
          <t>2026-10-21</t>
        </is>
      </c>
    </row>
  </sheetData>
  <autoFilter ref="A1:W32"/>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9" customWidth="1" min="2" max="2"/>
    <col width="12" customWidth="1" min="3" max="3"/>
    <col width="9" customWidth="1" min="4" max="4"/>
    <col width="8" customWidth="1" min="5" max="5"/>
    <col width="9" customWidth="1" min="6" max="6"/>
    <col width="14" customWidth="1" min="7" max="7"/>
    <col width="13" customWidth="1" min="8" max="8"/>
    <col width="14" customWidth="1" min="9" max="9"/>
    <col width="14" customWidth="1" min="10" max="10"/>
    <col width="18" customWidth="1" min="11" max="11"/>
    <col width="9" customWidth="1" min="12" max="12"/>
    <col width="9" customWidth="1" min="13" max="13"/>
    <col width="16" customWidth="1" min="14" max="14"/>
    <col width="40" customWidth="1" min="15" max="15"/>
  </cols>
  <sheetData>
    <row r="1">
      <c r="A1" s="3" t="inlineStr">
        <is>
          <t>Program (choose)</t>
        </is>
      </c>
      <c r="B1" s="3" t="inlineStr">
        <is>
          <t>Country</t>
        </is>
      </c>
      <c r="C1" s="3" t="inlineStr">
        <is>
          <t>Deadline</t>
        </is>
      </c>
      <c r="D1" s="3" t="inlineStr">
        <is>
          <t>Days left</t>
        </is>
      </c>
      <c r="E1" s="3" t="inlineStr">
        <is>
          <t>Fee</t>
        </is>
      </c>
      <c r="F1" s="3" t="inlineStr">
        <is>
          <t>Currency</t>
        </is>
      </c>
      <c r="G1" s="3" t="inlineStr">
        <is>
          <t>Intl fee waiver</t>
        </is>
      </c>
      <c r="H1" s="3" t="inlineStr">
        <is>
          <t>Physics GRE</t>
        </is>
      </c>
      <c r="I1" s="3" t="inlineStr">
        <is>
          <t>English waiver</t>
        </is>
      </c>
      <c r="J1" s="3" t="inlineStr">
        <is>
          <t>Supervisor</t>
        </is>
      </c>
      <c r="K1" s="3" t="inlineStr">
        <is>
          <t>Status</t>
        </is>
      </c>
      <c r="L1" s="3" t="inlineStr">
        <is>
          <t>SOP ready</t>
        </is>
      </c>
      <c r="M1" s="3" t="inlineStr">
        <is>
          <t>Letters confirmed</t>
        </is>
      </c>
      <c r="N1" s="3" t="inlineStr">
        <is>
          <t>Fee paid / waiver</t>
        </is>
      </c>
      <c r="O1" s="3" t="inlineStr">
        <is>
          <t>My notes</t>
        </is>
      </c>
    </row>
    <row r="2">
      <c r="A2" s="7" t="n"/>
      <c r="B2">
        <f>IF($A2="","",INDEX(Programs!$C$2:$C$32,MATCH($A2,Programs!$A$2:$A$32,0)))</f>
        <v/>
      </c>
      <c r="C2" s="8">
        <f>IF($A2="","",INDEX(Programs!$E$2:$E$32,MATCH($A2,Programs!$A$2:$A$32,0)))</f>
        <v/>
      </c>
      <c r="D2">
        <f>IF(ISNUMBER(C2),C2-TODAY(),"")</f>
        <v/>
      </c>
      <c r="E2">
        <f>IF($A2="","",INDEX(Programs!$G$2:$G$32,MATCH($A2,Programs!$A$2:$A$32,0)))</f>
        <v/>
      </c>
      <c r="F2">
        <f>IF($A2="","",INDEX(Programs!$H$2:$H$32,MATCH($A2,Programs!$A$2:$A$32,0)))</f>
        <v/>
      </c>
      <c r="G2">
        <f>IF($A2="","",INDEX(Programs!$I$2:$I$32,MATCH($A2,Programs!$A$2:$A$32,0)))</f>
        <v/>
      </c>
      <c r="H2">
        <f>IF($A2="","",INDEX(Programs!$L$2:$L$32,MATCH($A2,Programs!$A$2:$A$32,0)))</f>
        <v/>
      </c>
      <c r="I2">
        <f>IF($A2="","",INDEX(Programs!$N$2:$N$32,MATCH($A2,Programs!$A$2:$A$32,0)))</f>
        <v/>
      </c>
      <c r="J2">
        <f>IF($A2="","",INDEX(Programs!$P$2:$P$32,MATCH($A2,Programs!$A$2:$A$32,0)))</f>
        <v/>
      </c>
      <c r="K2" s="7" t="n"/>
      <c r="L2" s="7" t="n"/>
      <c r="M2" s="7" t="n"/>
      <c r="N2" s="7" t="n"/>
      <c r="O2" s="7" t="n"/>
    </row>
    <row r="3">
      <c r="A3" s="7" t="n"/>
      <c r="B3">
        <f>IF($A3="","",INDEX(Programs!$C$2:$C$32,MATCH($A3,Programs!$A$2:$A$32,0)))</f>
        <v/>
      </c>
      <c r="C3" s="8">
        <f>IF($A3="","",INDEX(Programs!$E$2:$E$32,MATCH($A3,Programs!$A$2:$A$32,0)))</f>
        <v/>
      </c>
      <c r="D3">
        <f>IF(ISNUMBER(C3),C3-TODAY(),"")</f>
        <v/>
      </c>
      <c r="E3">
        <f>IF($A3="","",INDEX(Programs!$G$2:$G$32,MATCH($A3,Programs!$A$2:$A$32,0)))</f>
        <v/>
      </c>
      <c r="F3">
        <f>IF($A3="","",INDEX(Programs!$H$2:$H$32,MATCH($A3,Programs!$A$2:$A$32,0)))</f>
        <v/>
      </c>
      <c r="G3">
        <f>IF($A3="","",INDEX(Programs!$I$2:$I$32,MATCH($A3,Programs!$A$2:$A$32,0)))</f>
        <v/>
      </c>
      <c r="H3">
        <f>IF($A3="","",INDEX(Programs!$L$2:$L$32,MATCH($A3,Programs!$A$2:$A$32,0)))</f>
        <v/>
      </c>
      <c r="I3">
        <f>IF($A3="","",INDEX(Programs!$N$2:$N$32,MATCH($A3,Programs!$A$2:$A$32,0)))</f>
        <v/>
      </c>
      <c r="J3">
        <f>IF($A3="","",INDEX(Programs!$P$2:$P$32,MATCH($A3,Programs!$A$2:$A$32,0)))</f>
        <v/>
      </c>
      <c r="K3" s="7" t="n"/>
      <c r="L3" s="7" t="n"/>
      <c r="M3" s="7" t="n"/>
      <c r="N3" s="7" t="n"/>
      <c r="O3" s="7" t="n"/>
    </row>
    <row r="4">
      <c r="A4" s="7" t="n"/>
      <c r="B4">
        <f>IF($A4="","",INDEX(Programs!$C$2:$C$32,MATCH($A4,Programs!$A$2:$A$32,0)))</f>
        <v/>
      </c>
      <c r="C4" s="8">
        <f>IF($A4="","",INDEX(Programs!$E$2:$E$32,MATCH($A4,Programs!$A$2:$A$32,0)))</f>
        <v/>
      </c>
      <c r="D4">
        <f>IF(ISNUMBER(C4),C4-TODAY(),"")</f>
        <v/>
      </c>
      <c r="E4">
        <f>IF($A4="","",INDEX(Programs!$G$2:$G$32,MATCH($A4,Programs!$A$2:$A$32,0)))</f>
        <v/>
      </c>
      <c r="F4">
        <f>IF($A4="","",INDEX(Programs!$H$2:$H$32,MATCH($A4,Programs!$A$2:$A$32,0)))</f>
        <v/>
      </c>
      <c r="G4">
        <f>IF($A4="","",INDEX(Programs!$I$2:$I$32,MATCH($A4,Programs!$A$2:$A$32,0)))</f>
        <v/>
      </c>
      <c r="H4">
        <f>IF($A4="","",INDEX(Programs!$L$2:$L$32,MATCH($A4,Programs!$A$2:$A$32,0)))</f>
        <v/>
      </c>
      <c r="I4">
        <f>IF($A4="","",INDEX(Programs!$N$2:$N$32,MATCH($A4,Programs!$A$2:$A$32,0)))</f>
        <v/>
      </c>
      <c r="J4">
        <f>IF($A4="","",INDEX(Programs!$P$2:$P$32,MATCH($A4,Programs!$A$2:$A$32,0)))</f>
        <v/>
      </c>
      <c r="K4" s="7" t="n"/>
      <c r="L4" s="7" t="n"/>
      <c r="M4" s="7" t="n"/>
      <c r="N4" s="7" t="n"/>
      <c r="O4" s="7" t="n"/>
    </row>
    <row r="5">
      <c r="A5" s="7" t="n"/>
      <c r="B5">
        <f>IF($A5="","",INDEX(Programs!$C$2:$C$32,MATCH($A5,Programs!$A$2:$A$32,0)))</f>
        <v/>
      </c>
      <c r="C5" s="8">
        <f>IF($A5="","",INDEX(Programs!$E$2:$E$32,MATCH($A5,Programs!$A$2:$A$32,0)))</f>
        <v/>
      </c>
      <c r="D5">
        <f>IF(ISNUMBER(C5),C5-TODAY(),"")</f>
        <v/>
      </c>
      <c r="E5">
        <f>IF($A5="","",INDEX(Programs!$G$2:$G$32,MATCH($A5,Programs!$A$2:$A$32,0)))</f>
        <v/>
      </c>
      <c r="F5">
        <f>IF($A5="","",INDEX(Programs!$H$2:$H$32,MATCH($A5,Programs!$A$2:$A$32,0)))</f>
        <v/>
      </c>
      <c r="G5">
        <f>IF($A5="","",INDEX(Programs!$I$2:$I$32,MATCH($A5,Programs!$A$2:$A$32,0)))</f>
        <v/>
      </c>
      <c r="H5">
        <f>IF($A5="","",INDEX(Programs!$L$2:$L$32,MATCH($A5,Programs!$A$2:$A$32,0)))</f>
        <v/>
      </c>
      <c r="I5">
        <f>IF($A5="","",INDEX(Programs!$N$2:$N$32,MATCH($A5,Programs!$A$2:$A$32,0)))</f>
        <v/>
      </c>
      <c r="J5">
        <f>IF($A5="","",INDEX(Programs!$P$2:$P$32,MATCH($A5,Programs!$A$2:$A$32,0)))</f>
        <v/>
      </c>
      <c r="K5" s="7" t="n"/>
      <c r="L5" s="7" t="n"/>
      <c r="M5" s="7" t="n"/>
      <c r="N5" s="7" t="n"/>
      <c r="O5" s="7" t="n"/>
    </row>
    <row r="6">
      <c r="A6" s="7" t="n"/>
      <c r="B6">
        <f>IF($A6="","",INDEX(Programs!$C$2:$C$32,MATCH($A6,Programs!$A$2:$A$32,0)))</f>
        <v/>
      </c>
      <c r="C6" s="8">
        <f>IF($A6="","",INDEX(Programs!$E$2:$E$32,MATCH($A6,Programs!$A$2:$A$32,0)))</f>
        <v/>
      </c>
      <c r="D6">
        <f>IF(ISNUMBER(C6),C6-TODAY(),"")</f>
        <v/>
      </c>
      <c r="E6">
        <f>IF($A6="","",INDEX(Programs!$G$2:$G$32,MATCH($A6,Programs!$A$2:$A$32,0)))</f>
        <v/>
      </c>
      <c r="F6">
        <f>IF($A6="","",INDEX(Programs!$H$2:$H$32,MATCH($A6,Programs!$A$2:$A$32,0)))</f>
        <v/>
      </c>
      <c r="G6">
        <f>IF($A6="","",INDEX(Programs!$I$2:$I$32,MATCH($A6,Programs!$A$2:$A$32,0)))</f>
        <v/>
      </c>
      <c r="H6">
        <f>IF($A6="","",INDEX(Programs!$L$2:$L$32,MATCH($A6,Programs!$A$2:$A$32,0)))</f>
        <v/>
      </c>
      <c r="I6">
        <f>IF($A6="","",INDEX(Programs!$N$2:$N$32,MATCH($A6,Programs!$A$2:$A$32,0)))</f>
        <v/>
      </c>
      <c r="J6">
        <f>IF($A6="","",INDEX(Programs!$P$2:$P$32,MATCH($A6,Programs!$A$2:$A$32,0)))</f>
        <v/>
      </c>
      <c r="K6" s="7" t="n"/>
      <c r="L6" s="7" t="n"/>
      <c r="M6" s="7" t="n"/>
      <c r="N6" s="7" t="n"/>
      <c r="O6" s="7" t="n"/>
    </row>
    <row r="7">
      <c r="A7" s="7" t="n"/>
      <c r="B7">
        <f>IF($A7="","",INDEX(Programs!$C$2:$C$32,MATCH($A7,Programs!$A$2:$A$32,0)))</f>
        <v/>
      </c>
      <c r="C7" s="8">
        <f>IF($A7="","",INDEX(Programs!$E$2:$E$32,MATCH($A7,Programs!$A$2:$A$32,0)))</f>
        <v/>
      </c>
      <c r="D7">
        <f>IF(ISNUMBER(C7),C7-TODAY(),"")</f>
        <v/>
      </c>
      <c r="E7">
        <f>IF($A7="","",INDEX(Programs!$G$2:$G$32,MATCH($A7,Programs!$A$2:$A$32,0)))</f>
        <v/>
      </c>
      <c r="F7">
        <f>IF($A7="","",INDEX(Programs!$H$2:$H$32,MATCH($A7,Programs!$A$2:$A$32,0)))</f>
        <v/>
      </c>
      <c r="G7">
        <f>IF($A7="","",INDEX(Programs!$I$2:$I$32,MATCH($A7,Programs!$A$2:$A$32,0)))</f>
        <v/>
      </c>
      <c r="H7">
        <f>IF($A7="","",INDEX(Programs!$L$2:$L$32,MATCH($A7,Programs!$A$2:$A$32,0)))</f>
        <v/>
      </c>
      <c r="I7">
        <f>IF($A7="","",INDEX(Programs!$N$2:$N$32,MATCH($A7,Programs!$A$2:$A$32,0)))</f>
        <v/>
      </c>
      <c r="J7">
        <f>IF($A7="","",INDEX(Programs!$P$2:$P$32,MATCH($A7,Programs!$A$2:$A$32,0)))</f>
        <v/>
      </c>
      <c r="K7" s="7" t="n"/>
      <c r="L7" s="7" t="n"/>
      <c r="M7" s="7" t="n"/>
      <c r="N7" s="7" t="n"/>
      <c r="O7" s="7" t="n"/>
    </row>
    <row r="8">
      <c r="A8" s="7" t="n"/>
      <c r="B8">
        <f>IF($A8="","",INDEX(Programs!$C$2:$C$32,MATCH($A8,Programs!$A$2:$A$32,0)))</f>
        <v/>
      </c>
      <c r="C8" s="8">
        <f>IF($A8="","",INDEX(Programs!$E$2:$E$32,MATCH($A8,Programs!$A$2:$A$32,0)))</f>
        <v/>
      </c>
      <c r="D8">
        <f>IF(ISNUMBER(C8),C8-TODAY(),"")</f>
        <v/>
      </c>
      <c r="E8">
        <f>IF($A8="","",INDEX(Programs!$G$2:$G$32,MATCH($A8,Programs!$A$2:$A$32,0)))</f>
        <v/>
      </c>
      <c r="F8">
        <f>IF($A8="","",INDEX(Programs!$H$2:$H$32,MATCH($A8,Programs!$A$2:$A$32,0)))</f>
        <v/>
      </c>
      <c r="G8">
        <f>IF($A8="","",INDEX(Programs!$I$2:$I$32,MATCH($A8,Programs!$A$2:$A$32,0)))</f>
        <v/>
      </c>
      <c r="H8">
        <f>IF($A8="","",INDEX(Programs!$L$2:$L$32,MATCH($A8,Programs!$A$2:$A$32,0)))</f>
        <v/>
      </c>
      <c r="I8">
        <f>IF($A8="","",INDEX(Programs!$N$2:$N$32,MATCH($A8,Programs!$A$2:$A$32,0)))</f>
        <v/>
      </c>
      <c r="J8">
        <f>IF($A8="","",INDEX(Programs!$P$2:$P$32,MATCH($A8,Programs!$A$2:$A$32,0)))</f>
        <v/>
      </c>
      <c r="K8" s="7" t="n"/>
      <c r="L8" s="7" t="n"/>
      <c r="M8" s="7" t="n"/>
      <c r="N8" s="7" t="n"/>
      <c r="O8" s="7" t="n"/>
    </row>
    <row r="9">
      <c r="A9" s="7" t="n"/>
      <c r="B9">
        <f>IF($A9="","",INDEX(Programs!$C$2:$C$32,MATCH($A9,Programs!$A$2:$A$32,0)))</f>
        <v/>
      </c>
      <c r="C9" s="8">
        <f>IF($A9="","",INDEX(Programs!$E$2:$E$32,MATCH($A9,Programs!$A$2:$A$32,0)))</f>
        <v/>
      </c>
      <c r="D9">
        <f>IF(ISNUMBER(C9),C9-TODAY(),"")</f>
        <v/>
      </c>
      <c r="E9">
        <f>IF($A9="","",INDEX(Programs!$G$2:$G$32,MATCH($A9,Programs!$A$2:$A$32,0)))</f>
        <v/>
      </c>
      <c r="F9">
        <f>IF($A9="","",INDEX(Programs!$H$2:$H$32,MATCH($A9,Programs!$A$2:$A$32,0)))</f>
        <v/>
      </c>
      <c r="G9">
        <f>IF($A9="","",INDEX(Programs!$I$2:$I$32,MATCH($A9,Programs!$A$2:$A$32,0)))</f>
        <v/>
      </c>
      <c r="H9">
        <f>IF($A9="","",INDEX(Programs!$L$2:$L$32,MATCH($A9,Programs!$A$2:$A$32,0)))</f>
        <v/>
      </c>
      <c r="I9">
        <f>IF($A9="","",INDEX(Programs!$N$2:$N$32,MATCH($A9,Programs!$A$2:$A$32,0)))</f>
        <v/>
      </c>
      <c r="J9">
        <f>IF($A9="","",INDEX(Programs!$P$2:$P$32,MATCH($A9,Programs!$A$2:$A$32,0)))</f>
        <v/>
      </c>
      <c r="K9" s="7" t="n"/>
      <c r="L9" s="7" t="n"/>
      <c r="M9" s="7" t="n"/>
      <c r="N9" s="7" t="n"/>
      <c r="O9" s="7" t="n"/>
    </row>
    <row r="10">
      <c r="A10" s="7" t="n"/>
      <c r="B10">
        <f>IF($A10="","",INDEX(Programs!$C$2:$C$32,MATCH($A10,Programs!$A$2:$A$32,0)))</f>
        <v/>
      </c>
      <c r="C10" s="8">
        <f>IF($A10="","",INDEX(Programs!$E$2:$E$32,MATCH($A10,Programs!$A$2:$A$32,0)))</f>
        <v/>
      </c>
      <c r="D10">
        <f>IF(ISNUMBER(C10),C10-TODAY(),"")</f>
        <v/>
      </c>
      <c r="E10">
        <f>IF($A10="","",INDEX(Programs!$G$2:$G$32,MATCH($A10,Programs!$A$2:$A$32,0)))</f>
        <v/>
      </c>
      <c r="F10">
        <f>IF($A10="","",INDEX(Programs!$H$2:$H$32,MATCH($A10,Programs!$A$2:$A$32,0)))</f>
        <v/>
      </c>
      <c r="G10">
        <f>IF($A10="","",INDEX(Programs!$I$2:$I$32,MATCH($A10,Programs!$A$2:$A$32,0)))</f>
        <v/>
      </c>
      <c r="H10">
        <f>IF($A10="","",INDEX(Programs!$L$2:$L$32,MATCH($A10,Programs!$A$2:$A$32,0)))</f>
        <v/>
      </c>
      <c r="I10">
        <f>IF($A10="","",INDEX(Programs!$N$2:$N$32,MATCH($A10,Programs!$A$2:$A$32,0)))</f>
        <v/>
      </c>
      <c r="J10">
        <f>IF($A10="","",INDEX(Programs!$P$2:$P$32,MATCH($A10,Programs!$A$2:$A$32,0)))</f>
        <v/>
      </c>
      <c r="K10" s="7" t="n"/>
      <c r="L10" s="7" t="n"/>
      <c r="M10" s="7" t="n"/>
      <c r="N10" s="7" t="n"/>
      <c r="O10" s="7" t="n"/>
    </row>
    <row r="11">
      <c r="A11" s="7" t="n"/>
      <c r="B11">
        <f>IF($A11="","",INDEX(Programs!$C$2:$C$32,MATCH($A11,Programs!$A$2:$A$32,0)))</f>
        <v/>
      </c>
      <c r="C11" s="8">
        <f>IF($A11="","",INDEX(Programs!$E$2:$E$32,MATCH($A11,Programs!$A$2:$A$32,0)))</f>
        <v/>
      </c>
      <c r="D11">
        <f>IF(ISNUMBER(C11),C11-TODAY(),"")</f>
        <v/>
      </c>
      <c r="E11">
        <f>IF($A11="","",INDEX(Programs!$G$2:$G$32,MATCH($A11,Programs!$A$2:$A$32,0)))</f>
        <v/>
      </c>
      <c r="F11">
        <f>IF($A11="","",INDEX(Programs!$H$2:$H$32,MATCH($A11,Programs!$A$2:$A$32,0)))</f>
        <v/>
      </c>
      <c r="G11">
        <f>IF($A11="","",INDEX(Programs!$I$2:$I$32,MATCH($A11,Programs!$A$2:$A$32,0)))</f>
        <v/>
      </c>
      <c r="H11">
        <f>IF($A11="","",INDEX(Programs!$L$2:$L$32,MATCH($A11,Programs!$A$2:$A$32,0)))</f>
        <v/>
      </c>
      <c r="I11">
        <f>IF($A11="","",INDEX(Programs!$N$2:$N$32,MATCH($A11,Programs!$A$2:$A$32,0)))</f>
        <v/>
      </c>
      <c r="J11">
        <f>IF($A11="","",INDEX(Programs!$P$2:$P$32,MATCH($A11,Programs!$A$2:$A$32,0)))</f>
        <v/>
      </c>
      <c r="K11" s="7" t="n"/>
      <c r="L11" s="7" t="n"/>
      <c r="M11" s="7" t="n"/>
      <c r="N11" s="7" t="n"/>
      <c r="O11" s="7" t="n"/>
    </row>
    <row r="12">
      <c r="A12" s="7" t="n"/>
      <c r="B12">
        <f>IF($A12="","",INDEX(Programs!$C$2:$C$32,MATCH($A12,Programs!$A$2:$A$32,0)))</f>
        <v/>
      </c>
      <c r="C12" s="8">
        <f>IF($A12="","",INDEX(Programs!$E$2:$E$32,MATCH($A12,Programs!$A$2:$A$32,0)))</f>
        <v/>
      </c>
      <c r="D12">
        <f>IF(ISNUMBER(C12),C12-TODAY(),"")</f>
        <v/>
      </c>
      <c r="E12">
        <f>IF($A12="","",INDEX(Programs!$G$2:$G$32,MATCH($A12,Programs!$A$2:$A$32,0)))</f>
        <v/>
      </c>
      <c r="F12">
        <f>IF($A12="","",INDEX(Programs!$H$2:$H$32,MATCH($A12,Programs!$A$2:$A$32,0)))</f>
        <v/>
      </c>
      <c r="G12">
        <f>IF($A12="","",INDEX(Programs!$I$2:$I$32,MATCH($A12,Programs!$A$2:$A$32,0)))</f>
        <v/>
      </c>
      <c r="H12">
        <f>IF($A12="","",INDEX(Programs!$L$2:$L$32,MATCH($A12,Programs!$A$2:$A$32,0)))</f>
        <v/>
      </c>
      <c r="I12">
        <f>IF($A12="","",INDEX(Programs!$N$2:$N$32,MATCH($A12,Programs!$A$2:$A$32,0)))</f>
        <v/>
      </c>
      <c r="J12">
        <f>IF($A12="","",INDEX(Programs!$P$2:$P$32,MATCH($A12,Programs!$A$2:$A$32,0)))</f>
        <v/>
      </c>
      <c r="K12" s="7" t="n"/>
      <c r="L12" s="7" t="n"/>
      <c r="M12" s="7" t="n"/>
      <c r="N12" s="7" t="n"/>
      <c r="O12" s="7" t="n"/>
    </row>
    <row r="13">
      <c r="A13" s="7" t="n"/>
      <c r="B13">
        <f>IF($A13="","",INDEX(Programs!$C$2:$C$32,MATCH($A13,Programs!$A$2:$A$32,0)))</f>
        <v/>
      </c>
      <c r="C13" s="8">
        <f>IF($A13="","",INDEX(Programs!$E$2:$E$32,MATCH($A13,Programs!$A$2:$A$32,0)))</f>
        <v/>
      </c>
      <c r="D13">
        <f>IF(ISNUMBER(C13),C13-TODAY(),"")</f>
        <v/>
      </c>
      <c r="E13">
        <f>IF($A13="","",INDEX(Programs!$G$2:$G$32,MATCH($A13,Programs!$A$2:$A$32,0)))</f>
        <v/>
      </c>
      <c r="F13">
        <f>IF($A13="","",INDEX(Programs!$H$2:$H$32,MATCH($A13,Programs!$A$2:$A$32,0)))</f>
        <v/>
      </c>
      <c r="G13">
        <f>IF($A13="","",INDEX(Programs!$I$2:$I$32,MATCH($A13,Programs!$A$2:$A$32,0)))</f>
        <v/>
      </c>
      <c r="H13">
        <f>IF($A13="","",INDEX(Programs!$L$2:$L$32,MATCH($A13,Programs!$A$2:$A$32,0)))</f>
        <v/>
      </c>
      <c r="I13">
        <f>IF($A13="","",INDEX(Programs!$N$2:$N$32,MATCH($A13,Programs!$A$2:$A$32,0)))</f>
        <v/>
      </c>
      <c r="J13">
        <f>IF($A13="","",INDEX(Programs!$P$2:$P$32,MATCH($A13,Programs!$A$2:$A$32,0)))</f>
        <v/>
      </c>
      <c r="K13" s="7" t="n"/>
      <c r="L13" s="7" t="n"/>
      <c r="M13" s="7" t="n"/>
      <c r="N13" s="7" t="n"/>
      <c r="O13" s="7" t="n"/>
    </row>
    <row r="14">
      <c r="A14" s="7" t="n"/>
      <c r="B14">
        <f>IF($A14="","",INDEX(Programs!$C$2:$C$32,MATCH($A14,Programs!$A$2:$A$32,0)))</f>
        <v/>
      </c>
      <c r="C14" s="8">
        <f>IF($A14="","",INDEX(Programs!$E$2:$E$32,MATCH($A14,Programs!$A$2:$A$32,0)))</f>
        <v/>
      </c>
      <c r="D14">
        <f>IF(ISNUMBER(C14),C14-TODAY(),"")</f>
        <v/>
      </c>
      <c r="E14">
        <f>IF($A14="","",INDEX(Programs!$G$2:$G$32,MATCH($A14,Programs!$A$2:$A$32,0)))</f>
        <v/>
      </c>
      <c r="F14">
        <f>IF($A14="","",INDEX(Programs!$H$2:$H$32,MATCH($A14,Programs!$A$2:$A$32,0)))</f>
        <v/>
      </c>
      <c r="G14">
        <f>IF($A14="","",INDEX(Programs!$I$2:$I$32,MATCH($A14,Programs!$A$2:$A$32,0)))</f>
        <v/>
      </c>
      <c r="H14">
        <f>IF($A14="","",INDEX(Programs!$L$2:$L$32,MATCH($A14,Programs!$A$2:$A$32,0)))</f>
        <v/>
      </c>
      <c r="I14">
        <f>IF($A14="","",INDEX(Programs!$N$2:$N$32,MATCH($A14,Programs!$A$2:$A$32,0)))</f>
        <v/>
      </c>
      <c r="J14">
        <f>IF($A14="","",INDEX(Programs!$P$2:$P$32,MATCH($A14,Programs!$A$2:$A$32,0)))</f>
        <v/>
      </c>
      <c r="K14" s="7" t="n"/>
      <c r="L14" s="7" t="n"/>
      <c r="M14" s="7" t="n"/>
      <c r="N14" s="7" t="n"/>
      <c r="O14" s="7" t="n"/>
    </row>
    <row r="15">
      <c r="A15" s="7" t="n"/>
      <c r="B15">
        <f>IF($A15="","",INDEX(Programs!$C$2:$C$32,MATCH($A15,Programs!$A$2:$A$32,0)))</f>
        <v/>
      </c>
      <c r="C15" s="8">
        <f>IF($A15="","",INDEX(Programs!$E$2:$E$32,MATCH($A15,Programs!$A$2:$A$32,0)))</f>
        <v/>
      </c>
      <c r="D15">
        <f>IF(ISNUMBER(C15),C15-TODAY(),"")</f>
        <v/>
      </c>
      <c r="E15">
        <f>IF($A15="","",INDEX(Programs!$G$2:$G$32,MATCH($A15,Programs!$A$2:$A$32,0)))</f>
        <v/>
      </c>
      <c r="F15">
        <f>IF($A15="","",INDEX(Programs!$H$2:$H$32,MATCH($A15,Programs!$A$2:$A$32,0)))</f>
        <v/>
      </c>
      <c r="G15">
        <f>IF($A15="","",INDEX(Programs!$I$2:$I$32,MATCH($A15,Programs!$A$2:$A$32,0)))</f>
        <v/>
      </c>
      <c r="H15">
        <f>IF($A15="","",INDEX(Programs!$L$2:$L$32,MATCH($A15,Programs!$A$2:$A$32,0)))</f>
        <v/>
      </c>
      <c r="I15">
        <f>IF($A15="","",INDEX(Programs!$N$2:$N$32,MATCH($A15,Programs!$A$2:$A$32,0)))</f>
        <v/>
      </c>
      <c r="J15">
        <f>IF($A15="","",INDEX(Programs!$P$2:$P$32,MATCH($A15,Programs!$A$2:$A$32,0)))</f>
        <v/>
      </c>
      <c r="K15" s="7" t="n"/>
      <c r="L15" s="7" t="n"/>
      <c r="M15" s="7" t="n"/>
      <c r="N15" s="7" t="n"/>
      <c r="O15" s="7" t="n"/>
    </row>
    <row r="16">
      <c r="A16" s="7" t="n"/>
      <c r="B16">
        <f>IF($A16="","",INDEX(Programs!$C$2:$C$32,MATCH($A16,Programs!$A$2:$A$32,0)))</f>
        <v/>
      </c>
      <c r="C16" s="8">
        <f>IF($A16="","",INDEX(Programs!$E$2:$E$32,MATCH($A16,Programs!$A$2:$A$32,0)))</f>
        <v/>
      </c>
      <c r="D16">
        <f>IF(ISNUMBER(C16),C16-TODAY(),"")</f>
        <v/>
      </c>
      <c r="E16">
        <f>IF($A16="","",INDEX(Programs!$G$2:$G$32,MATCH($A16,Programs!$A$2:$A$32,0)))</f>
        <v/>
      </c>
      <c r="F16">
        <f>IF($A16="","",INDEX(Programs!$H$2:$H$32,MATCH($A16,Programs!$A$2:$A$32,0)))</f>
        <v/>
      </c>
      <c r="G16">
        <f>IF($A16="","",INDEX(Programs!$I$2:$I$32,MATCH($A16,Programs!$A$2:$A$32,0)))</f>
        <v/>
      </c>
      <c r="H16">
        <f>IF($A16="","",INDEX(Programs!$L$2:$L$32,MATCH($A16,Programs!$A$2:$A$32,0)))</f>
        <v/>
      </c>
      <c r="I16">
        <f>IF($A16="","",INDEX(Programs!$N$2:$N$32,MATCH($A16,Programs!$A$2:$A$32,0)))</f>
        <v/>
      </c>
      <c r="J16">
        <f>IF($A16="","",INDEX(Programs!$P$2:$P$32,MATCH($A16,Programs!$A$2:$A$32,0)))</f>
        <v/>
      </c>
      <c r="K16" s="7" t="n"/>
      <c r="L16" s="7" t="n"/>
      <c r="M16" s="7" t="n"/>
      <c r="N16" s="7" t="n"/>
      <c r="O16" s="7" t="n"/>
    </row>
    <row r="17">
      <c r="A17" s="7" t="n"/>
      <c r="B17">
        <f>IF($A17="","",INDEX(Programs!$C$2:$C$32,MATCH($A17,Programs!$A$2:$A$32,0)))</f>
        <v/>
      </c>
      <c r="C17" s="8">
        <f>IF($A17="","",INDEX(Programs!$E$2:$E$32,MATCH($A17,Programs!$A$2:$A$32,0)))</f>
        <v/>
      </c>
      <c r="D17">
        <f>IF(ISNUMBER(C17),C17-TODAY(),"")</f>
        <v/>
      </c>
      <c r="E17">
        <f>IF($A17="","",INDEX(Programs!$G$2:$G$32,MATCH($A17,Programs!$A$2:$A$32,0)))</f>
        <v/>
      </c>
      <c r="F17">
        <f>IF($A17="","",INDEX(Programs!$H$2:$H$32,MATCH($A17,Programs!$A$2:$A$32,0)))</f>
        <v/>
      </c>
      <c r="G17">
        <f>IF($A17="","",INDEX(Programs!$I$2:$I$32,MATCH($A17,Programs!$A$2:$A$32,0)))</f>
        <v/>
      </c>
      <c r="H17">
        <f>IF($A17="","",INDEX(Programs!$L$2:$L$32,MATCH($A17,Programs!$A$2:$A$32,0)))</f>
        <v/>
      </c>
      <c r="I17">
        <f>IF($A17="","",INDEX(Programs!$N$2:$N$32,MATCH($A17,Programs!$A$2:$A$32,0)))</f>
        <v/>
      </c>
      <c r="J17">
        <f>IF($A17="","",INDEX(Programs!$P$2:$P$32,MATCH($A17,Programs!$A$2:$A$32,0)))</f>
        <v/>
      </c>
      <c r="K17" s="7" t="n"/>
      <c r="L17" s="7" t="n"/>
      <c r="M17" s="7" t="n"/>
      <c r="N17" s="7" t="n"/>
      <c r="O17" s="7" t="n"/>
    </row>
    <row r="18">
      <c r="A18" s="7" t="n"/>
      <c r="B18">
        <f>IF($A18="","",INDEX(Programs!$C$2:$C$32,MATCH($A18,Programs!$A$2:$A$32,0)))</f>
        <v/>
      </c>
      <c r="C18" s="8">
        <f>IF($A18="","",INDEX(Programs!$E$2:$E$32,MATCH($A18,Programs!$A$2:$A$32,0)))</f>
        <v/>
      </c>
      <c r="D18">
        <f>IF(ISNUMBER(C18),C18-TODAY(),"")</f>
        <v/>
      </c>
      <c r="E18">
        <f>IF($A18="","",INDEX(Programs!$G$2:$G$32,MATCH($A18,Programs!$A$2:$A$32,0)))</f>
        <v/>
      </c>
      <c r="F18">
        <f>IF($A18="","",INDEX(Programs!$H$2:$H$32,MATCH($A18,Programs!$A$2:$A$32,0)))</f>
        <v/>
      </c>
      <c r="G18">
        <f>IF($A18="","",INDEX(Programs!$I$2:$I$32,MATCH($A18,Programs!$A$2:$A$32,0)))</f>
        <v/>
      </c>
      <c r="H18">
        <f>IF($A18="","",INDEX(Programs!$L$2:$L$32,MATCH($A18,Programs!$A$2:$A$32,0)))</f>
        <v/>
      </c>
      <c r="I18">
        <f>IF($A18="","",INDEX(Programs!$N$2:$N$32,MATCH($A18,Programs!$A$2:$A$32,0)))</f>
        <v/>
      </c>
      <c r="J18">
        <f>IF($A18="","",INDEX(Programs!$P$2:$P$32,MATCH($A18,Programs!$A$2:$A$32,0)))</f>
        <v/>
      </c>
      <c r="K18" s="7" t="n"/>
      <c r="L18" s="7" t="n"/>
      <c r="M18" s="7" t="n"/>
      <c r="N18" s="7" t="n"/>
      <c r="O18" s="7" t="n"/>
    </row>
    <row r="19">
      <c r="A19" s="7" t="n"/>
      <c r="B19">
        <f>IF($A19="","",INDEX(Programs!$C$2:$C$32,MATCH($A19,Programs!$A$2:$A$32,0)))</f>
        <v/>
      </c>
      <c r="C19" s="8">
        <f>IF($A19="","",INDEX(Programs!$E$2:$E$32,MATCH($A19,Programs!$A$2:$A$32,0)))</f>
        <v/>
      </c>
      <c r="D19">
        <f>IF(ISNUMBER(C19),C19-TODAY(),"")</f>
        <v/>
      </c>
      <c r="E19">
        <f>IF($A19="","",INDEX(Programs!$G$2:$G$32,MATCH($A19,Programs!$A$2:$A$32,0)))</f>
        <v/>
      </c>
      <c r="F19">
        <f>IF($A19="","",INDEX(Programs!$H$2:$H$32,MATCH($A19,Programs!$A$2:$A$32,0)))</f>
        <v/>
      </c>
      <c r="G19">
        <f>IF($A19="","",INDEX(Programs!$I$2:$I$32,MATCH($A19,Programs!$A$2:$A$32,0)))</f>
        <v/>
      </c>
      <c r="H19">
        <f>IF($A19="","",INDEX(Programs!$L$2:$L$32,MATCH($A19,Programs!$A$2:$A$32,0)))</f>
        <v/>
      </c>
      <c r="I19">
        <f>IF($A19="","",INDEX(Programs!$N$2:$N$32,MATCH($A19,Programs!$A$2:$A$32,0)))</f>
        <v/>
      </c>
      <c r="J19">
        <f>IF($A19="","",INDEX(Programs!$P$2:$P$32,MATCH($A19,Programs!$A$2:$A$32,0)))</f>
        <v/>
      </c>
      <c r="K19" s="7" t="n"/>
      <c r="L19" s="7" t="n"/>
      <c r="M19" s="7" t="n"/>
      <c r="N19" s="7" t="n"/>
      <c r="O19" s="7" t="n"/>
    </row>
    <row r="20">
      <c r="A20" s="7" t="n"/>
      <c r="B20">
        <f>IF($A20="","",INDEX(Programs!$C$2:$C$32,MATCH($A20,Programs!$A$2:$A$32,0)))</f>
        <v/>
      </c>
      <c r="C20" s="8">
        <f>IF($A20="","",INDEX(Programs!$E$2:$E$32,MATCH($A20,Programs!$A$2:$A$32,0)))</f>
        <v/>
      </c>
      <c r="D20">
        <f>IF(ISNUMBER(C20),C20-TODAY(),"")</f>
        <v/>
      </c>
      <c r="E20">
        <f>IF($A20="","",INDEX(Programs!$G$2:$G$32,MATCH($A20,Programs!$A$2:$A$32,0)))</f>
        <v/>
      </c>
      <c r="F20">
        <f>IF($A20="","",INDEX(Programs!$H$2:$H$32,MATCH($A20,Programs!$A$2:$A$32,0)))</f>
        <v/>
      </c>
      <c r="G20">
        <f>IF($A20="","",INDEX(Programs!$I$2:$I$32,MATCH($A20,Programs!$A$2:$A$32,0)))</f>
        <v/>
      </c>
      <c r="H20">
        <f>IF($A20="","",INDEX(Programs!$L$2:$L$32,MATCH($A20,Programs!$A$2:$A$32,0)))</f>
        <v/>
      </c>
      <c r="I20">
        <f>IF($A20="","",INDEX(Programs!$N$2:$N$32,MATCH($A20,Programs!$A$2:$A$32,0)))</f>
        <v/>
      </c>
      <c r="J20">
        <f>IF($A20="","",INDEX(Programs!$P$2:$P$32,MATCH($A20,Programs!$A$2:$A$32,0)))</f>
        <v/>
      </c>
      <c r="K20" s="7" t="n"/>
      <c r="L20" s="7" t="n"/>
      <c r="M20" s="7" t="n"/>
      <c r="N20" s="7" t="n"/>
      <c r="O20" s="7" t="n"/>
    </row>
    <row r="21">
      <c r="A21" s="7" t="n"/>
      <c r="B21">
        <f>IF($A21="","",INDEX(Programs!$C$2:$C$32,MATCH($A21,Programs!$A$2:$A$32,0)))</f>
        <v/>
      </c>
      <c r="C21" s="8">
        <f>IF($A21="","",INDEX(Programs!$E$2:$E$32,MATCH($A21,Programs!$A$2:$A$32,0)))</f>
        <v/>
      </c>
      <c r="D21">
        <f>IF(ISNUMBER(C21),C21-TODAY(),"")</f>
        <v/>
      </c>
      <c r="E21">
        <f>IF($A21="","",INDEX(Programs!$G$2:$G$32,MATCH($A21,Programs!$A$2:$A$32,0)))</f>
        <v/>
      </c>
      <c r="F21">
        <f>IF($A21="","",INDEX(Programs!$H$2:$H$32,MATCH($A21,Programs!$A$2:$A$32,0)))</f>
        <v/>
      </c>
      <c r="G21">
        <f>IF($A21="","",INDEX(Programs!$I$2:$I$32,MATCH($A21,Programs!$A$2:$A$32,0)))</f>
        <v/>
      </c>
      <c r="H21">
        <f>IF($A21="","",INDEX(Programs!$L$2:$L$32,MATCH($A21,Programs!$A$2:$A$32,0)))</f>
        <v/>
      </c>
      <c r="I21">
        <f>IF($A21="","",INDEX(Programs!$N$2:$N$32,MATCH($A21,Programs!$A$2:$A$32,0)))</f>
        <v/>
      </c>
      <c r="J21">
        <f>IF($A21="","",INDEX(Programs!$P$2:$P$32,MATCH($A21,Programs!$A$2:$A$32,0)))</f>
        <v/>
      </c>
      <c r="K21" s="7" t="n"/>
      <c r="L21" s="7" t="n"/>
      <c r="M21" s="7" t="n"/>
      <c r="N21" s="7" t="n"/>
      <c r="O21" s="7" t="n"/>
    </row>
    <row r="22">
      <c r="A22" s="7" t="n"/>
      <c r="B22">
        <f>IF($A22="","",INDEX(Programs!$C$2:$C$32,MATCH($A22,Programs!$A$2:$A$32,0)))</f>
        <v/>
      </c>
      <c r="C22" s="8">
        <f>IF($A22="","",INDEX(Programs!$E$2:$E$32,MATCH($A22,Programs!$A$2:$A$32,0)))</f>
        <v/>
      </c>
      <c r="D22">
        <f>IF(ISNUMBER(C22),C22-TODAY(),"")</f>
        <v/>
      </c>
      <c r="E22">
        <f>IF($A22="","",INDEX(Programs!$G$2:$G$32,MATCH($A22,Programs!$A$2:$A$32,0)))</f>
        <v/>
      </c>
      <c r="F22">
        <f>IF($A22="","",INDEX(Programs!$H$2:$H$32,MATCH($A22,Programs!$A$2:$A$32,0)))</f>
        <v/>
      </c>
      <c r="G22">
        <f>IF($A22="","",INDEX(Programs!$I$2:$I$32,MATCH($A22,Programs!$A$2:$A$32,0)))</f>
        <v/>
      </c>
      <c r="H22">
        <f>IF($A22="","",INDEX(Programs!$L$2:$L$32,MATCH($A22,Programs!$A$2:$A$32,0)))</f>
        <v/>
      </c>
      <c r="I22">
        <f>IF($A22="","",INDEX(Programs!$N$2:$N$32,MATCH($A22,Programs!$A$2:$A$32,0)))</f>
        <v/>
      </c>
      <c r="J22">
        <f>IF($A22="","",INDEX(Programs!$P$2:$P$32,MATCH($A22,Programs!$A$2:$A$32,0)))</f>
        <v/>
      </c>
      <c r="K22" s="7" t="n"/>
      <c r="L22" s="7" t="n"/>
      <c r="M22" s="7" t="n"/>
      <c r="N22" s="7" t="n"/>
      <c r="O22" s="7" t="n"/>
    </row>
    <row r="23">
      <c r="A23" s="7" t="n"/>
      <c r="B23">
        <f>IF($A23="","",INDEX(Programs!$C$2:$C$32,MATCH($A23,Programs!$A$2:$A$32,0)))</f>
        <v/>
      </c>
      <c r="C23" s="8">
        <f>IF($A23="","",INDEX(Programs!$E$2:$E$32,MATCH($A23,Programs!$A$2:$A$32,0)))</f>
        <v/>
      </c>
      <c r="D23">
        <f>IF(ISNUMBER(C23),C23-TODAY(),"")</f>
        <v/>
      </c>
      <c r="E23">
        <f>IF($A23="","",INDEX(Programs!$G$2:$G$32,MATCH($A23,Programs!$A$2:$A$32,0)))</f>
        <v/>
      </c>
      <c r="F23">
        <f>IF($A23="","",INDEX(Programs!$H$2:$H$32,MATCH($A23,Programs!$A$2:$A$32,0)))</f>
        <v/>
      </c>
      <c r="G23">
        <f>IF($A23="","",INDEX(Programs!$I$2:$I$32,MATCH($A23,Programs!$A$2:$A$32,0)))</f>
        <v/>
      </c>
      <c r="H23">
        <f>IF($A23="","",INDEX(Programs!$L$2:$L$32,MATCH($A23,Programs!$A$2:$A$32,0)))</f>
        <v/>
      </c>
      <c r="I23">
        <f>IF($A23="","",INDEX(Programs!$N$2:$N$32,MATCH($A23,Programs!$A$2:$A$32,0)))</f>
        <v/>
      </c>
      <c r="J23">
        <f>IF($A23="","",INDEX(Programs!$P$2:$P$32,MATCH($A23,Programs!$A$2:$A$32,0)))</f>
        <v/>
      </c>
      <c r="K23" s="7" t="n"/>
      <c r="L23" s="7" t="n"/>
      <c r="M23" s="7" t="n"/>
      <c r="N23" s="7" t="n"/>
      <c r="O23" s="7" t="n"/>
    </row>
    <row r="24">
      <c r="A24" s="7" t="n"/>
      <c r="B24">
        <f>IF($A24="","",INDEX(Programs!$C$2:$C$32,MATCH($A24,Programs!$A$2:$A$32,0)))</f>
        <v/>
      </c>
      <c r="C24" s="8">
        <f>IF($A24="","",INDEX(Programs!$E$2:$E$32,MATCH($A24,Programs!$A$2:$A$32,0)))</f>
        <v/>
      </c>
      <c r="D24">
        <f>IF(ISNUMBER(C24),C24-TODAY(),"")</f>
        <v/>
      </c>
      <c r="E24">
        <f>IF($A24="","",INDEX(Programs!$G$2:$G$32,MATCH($A24,Programs!$A$2:$A$32,0)))</f>
        <v/>
      </c>
      <c r="F24">
        <f>IF($A24="","",INDEX(Programs!$H$2:$H$32,MATCH($A24,Programs!$A$2:$A$32,0)))</f>
        <v/>
      </c>
      <c r="G24">
        <f>IF($A24="","",INDEX(Programs!$I$2:$I$32,MATCH($A24,Programs!$A$2:$A$32,0)))</f>
        <v/>
      </c>
      <c r="H24">
        <f>IF($A24="","",INDEX(Programs!$L$2:$L$32,MATCH($A24,Programs!$A$2:$A$32,0)))</f>
        <v/>
      </c>
      <c r="I24">
        <f>IF($A24="","",INDEX(Programs!$N$2:$N$32,MATCH($A24,Programs!$A$2:$A$32,0)))</f>
        <v/>
      </c>
      <c r="J24">
        <f>IF($A24="","",INDEX(Programs!$P$2:$P$32,MATCH($A24,Programs!$A$2:$A$32,0)))</f>
        <v/>
      </c>
      <c r="K24" s="7" t="n"/>
      <c r="L24" s="7" t="n"/>
      <c r="M24" s="7" t="n"/>
      <c r="N24" s="7" t="n"/>
      <c r="O24" s="7" t="n"/>
    </row>
    <row r="25">
      <c r="A25" s="7" t="n"/>
      <c r="B25">
        <f>IF($A25="","",INDEX(Programs!$C$2:$C$32,MATCH($A25,Programs!$A$2:$A$32,0)))</f>
        <v/>
      </c>
      <c r="C25" s="8">
        <f>IF($A25="","",INDEX(Programs!$E$2:$E$32,MATCH($A25,Programs!$A$2:$A$32,0)))</f>
        <v/>
      </c>
      <c r="D25">
        <f>IF(ISNUMBER(C25),C25-TODAY(),"")</f>
        <v/>
      </c>
      <c r="E25">
        <f>IF($A25="","",INDEX(Programs!$G$2:$G$32,MATCH($A25,Programs!$A$2:$A$32,0)))</f>
        <v/>
      </c>
      <c r="F25">
        <f>IF($A25="","",INDEX(Programs!$H$2:$H$32,MATCH($A25,Programs!$A$2:$A$32,0)))</f>
        <v/>
      </c>
      <c r="G25">
        <f>IF($A25="","",INDEX(Programs!$I$2:$I$32,MATCH($A25,Programs!$A$2:$A$32,0)))</f>
        <v/>
      </c>
      <c r="H25">
        <f>IF($A25="","",INDEX(Programs!$L$2:$L$32,MATCH($A25,Programs!$A$2:$A$32,0)))</f>
        <v/>
      </c>
      <c r="I25">
        <f>IF($A25="","",INDEX(Programs!$N$2:$N$32,MATCH($A25,Programs!$A$2:$A$32,0)))</f>
        <v/>
      </c>
      <c r="J25">
        <f>IF($A25="","",INDEX(Programs!$P$2:$P$32,MATCH($A25,Programs!$A$2:$A$32,0)))</f>
        <v/>
      </c>
      <c r="K25" s="7" t="n"/>
      <c r="L25" s="7" t="n"/>
      <c r="M25" s="7" t="n"/>
      <c r="N25" s="7" t="n"/>
      <c r="O25" s="7" t="n"/>
    </row>
    <row r="26">
      <c r="A26" s="7" t="n"/>
      <c r="B26">
        <f>IF($A26="","",INDEX(Programs!$C$2:$C$32,MATCH($A26,Programs!$A$2:$A$32,0)))</f>
        <v/>
      </c>
      <c r="C26" s="8">
        <f>IF($A26="","",INDEX(Programs!$E$2:$E$32,MATCH($A26,Programs!$A$2:$A$32,0)))</f>
        <v/>
      </c>
      <c r="D26">
        <f>IF(ISNUMBER(C26),C26-TODAY(),"")</f>
        <v/>
      </c>
      <c r="E26">
        <f>IF($A26="","",INDEX(Programs!$G$2:$G$32,MATCH($A26,Programs!$A$2:$A$32,0)))</f>
        <v/>
      </c>
      <c r="F26">
        <f>IF($A26="","",INDEX(Programs!$H$2:$H$32,MATCH($A26,Programs!$A$2:$A$32,0)))</f>
        <v/>
      </c>
      <c r="G26">
        <f>IF($A26="","",INDEX(Programs!$I$2:$I$32,MATCH($A26,Programs!$A$2:$A$32,0)))</f>
        <v/>
      </c>
      <c r="H26">
        <f>IF($A26="","",INDEX(Programs!$L$2:$L$32,MATCH($A26,Programs!$A$2:$A$32,0)))</f>
        <v/>
      </c>
      <c r="I26">
        <f>IF($A26="","",INDEX(Programs!$N$2:$N$32,MATCH($A26,Programs!$A$2:$A$32,0)))</f>
        <v/>
      </c>
      <c r="J26">
        <f>IF($A26="","",INDEX(Programs!$P$2:$P$32,MATCH($A26,Programs!$A$2:$A$32,0)))</f>
        <v/>
      </c>
      <c r="K26" s="7" t="n"/>
      <c r="L26" s="7" t="n"/>
      <c r="M26" s="7" t="n"/>
      <c r="N26" s="7" t="n"/>
      <c r="O26" s="7" t="n"/>
    </row>
    <row r="27">
      <c r="A27" s="7" t="n"/>
      <c r="B27">
        <f>IF($A27="","",INDEX(Programs!$C$2:$C$32,MATCH($A27,Programs!$A$2:$A$32,0)))</f>
        <v/>
      </c>
      <c r="C27" s="8">
        <f>IF($A27="","",INDEX(Programs!$E$2:$E$32,MATCH($A27,Programs!$A$2:$A$32,0)))</f>
        <v/>
      </c>
      <c r="D27">
        <f>IF(ISNUMBER(C27),C27-TODAY(),"")</f>
        <v/>
      </c>
      <c r="E27">
        <f>IF($A27="","",INDEX(Programs!$G$2:$G$32,MATCH($A27,Programs!$A$2:$A$32,0)))</f>
        <v/>
      </c>
      <c r="F27">
        <f>IF($A27="","",INDEX(Programs!$H$2:$H$32,MATCH($A27,Programs!$A$2:$A$32,0)))</f>
        <v/>
      </c>
      <c r="G27">
        <f>IF($A27="","",INDEX(Programs!$I$2:$I$32,MATCH($A27,Programs!$A$2:$A$32,0)))</f>
        <v/>
      </c>
      <c r="H27">
        <f>IF($A27="","",INDEX(Programs!$L$2:$L$32,MATCH($A27,Programs!$A$2:$A$32,0)))</f>
        <v/>
      </c>
      <c r="I27">
        <f>IF($A27="","",INDEX(Programs!$N$2:$N$32,MATCH($A27,Programs!$A$2:$A$32,0)))</f>
        <v/>
      </c>
      <c r="J27">
        <f>IF($A27="","",INDEX(Programs!$P$2:$P$32,MATCH($A27,Programs!$A$2:$A$32,0)))</f>
        <v/>
      </c>
      <c r="K27" s="7" t="n"/>
      <c r="L27" s="7" t="n"/>
      <c r="M27" s="7" t="n"/>
      <c r="N27" s="7" t="n"/>
      <c r="O27" s="7" t="n"/>
    </row>
    <row r="28">
      <c r="A28" s="7" t="n"/>
      <c r="B28">
        <f>IF($A28="","",INDEX(Programs!$C$2:$C$32,MATCH($A28,Programs!$A$2:$A$32,0)))</f>
        <v/>
      </c>
      <c r="C28" s="8">
        <f>IF($A28="","",INDEX(Programs!$E$2:$E$32,MATCH($A28,Programs!$A$2:$A$32,0)))</f>
        <v/>
      </c>
      <c r="D28">
        <f>IF(ISNUMBER(C28),C28-TODAY(),"")</f>
        <v/>
      </c>
      <c r="E28">
        <f>IF($A28="","",INDEX(Programs!$G$2:$G$32,MATCH($A28,Programs!$A$2:$A$32,0)))</f>
        <v/>
      </c>
      <c r="F28">
        <f>IF($A28="","",INDEX(Programs!$H$2:$H$32,MATCH($A28,Programs!$A$2:$A$32,0)))</f>
        <v/>
      </c>
      <c r="G28">
        <f>IF($A28="","",INDEX(Programs!$I$2:$I$32,MATCH($A28,Programs!$A$2:$A$32,0)))</f>
        <v/>
      </c>
      <c r="H28">
        <f>IF($A28="","",INDEX(Programs!$L$2:$L$32,MATCH($A28,Programs!$A$2:$A$32,0)))</f>
        <v/>
      </c>
      <c r="I28">
        <f>IF($A28="","",INDEX(Programs!$N$2:$N$32,MATCH($A28,Programs!$A$2:$A$32,0)))</f>
        <v/>
      </c>
      <c r="J28">
        <f>IF($A28="","",INDEX(Programs!$P$2:$P$32,MATCH($A28,Programs!$A$2:$A$32,0)))</f>
        <v/>
      </c>
      <c r="K28" s="7" t="n"/>
      <c r="L28" s="7" t="n"/>
      <c r="M28" s="7" t="n"/>
      <c r="N28" s="7" t="n"/>
      <c r="O28" s="7" t="n"/>
    </row>
    <row r="29">
      <c r="A29" s="7" t="n"/>
      <c r="B29">
        <f>IF($A29="","",INDEX(Programs!$C$2:$C$32,MATCH($A29,Programs!$A$2:$A$32,0)))</f>
        <v/>
      </c>
      <c r="C29" s="8">
        <f>IF($A29="","",INDEX(Programs!$E$2:$E$32,MATCH($A29,Programs!$A$2:$A$32,0)))</f>
        <v/>
      </c>
      <c r="D29">
        <f>IF(ISNUMBER(C29),C29-TODAY(),"")</f>
        <v/>
      </c>
      <c r="E29">
        <f>IF($A29="","",INDEX(Programs!$G$2:$G$32,MATCH($A29,Programs!$A$2:$A$32,0)))</f>
        <v/>
      </c>
      <c r="F29">
        <f>IF($A29="","",INDEX(Programs!$H$2:$H$32,MATCH($A29,Programs!$A$2:$A$32,0)))</f>
        <v/>
      </c>
      <c r="G29">
        <f>IF($A29="","",INDEX(Programs!$I$2:$I$32,MATCH($A29,Programs!$A$2:$A$32,0)))</f>
        <v/>
      </c>
      <c r="H29">
        <f>IF($A29="","",INDEX(Programs!$L$2:$L$32,MATCH($A29,Programs!$A$2:$A$32,0)))</f>
        <v/>
      </c>
      <c r="I29">
        <f>IF($A29="","",INDEX(Programs!$N$2:$N$32,MATCH($A29,Programs!$A$2:$A$32,0)))</f>
        <v/>
      </c>
      <c r="J29">
        <f>IF($A29="","",INDEX(Programs!$P$2:$P$32,MATCH($A29,Programs!$A$2:$A$32,0)))</f>
        <v/>
      </c>
      <c r="K29" s="7" t="n"/>
      <c r="L29" s="7" t="n"/>
      <c r="M29" s="7" t="n"/>
      <c r="N29" s="7" t="n"/>
      <c r="O29" s="7" t="n"/>
    </row>
    <row r="30">
      <c r="A30" s="7" t="n"/>
      <c r="B30">
        <f>IF($A30="","",INDEX(Programs!$C$2:$C$32,MATCH($A30,Programs!$A$2:$A$32,0)))</f>
        <v/>
      </c>
      <c r="C30" s="8">
        <f>IF($A30="","",INDEX(Programs!$E$2:$E$32,MATCH($A30,Programs!$A$2:$A$32,0)))</f>
        <v/>
      </c>
      <c r="D30">
        <f>IF(ISNUMBER(C30),C30-TODAY(),"")</f>
        <v/>
      </c>
      <c r="E30">
        <f>IF($A30="","",INDEX(Programs!$G$2:$G$32,MATCH($A30,Programs!$A$2:$A$32,0)))</f>
        <v/>
      </c>
      <c r="F30">
        <f>IF($A30="","",INDEX(Programs!$H$2:$H$32,MATCH($A30,Programs!$A$2:$A$32,0)))</f>
        <v/>
      </c>
      <c r="G30">
        <f>IF($A30="","",INDEX(Programs!$I$2:$I$32,MATCH($A30,Programs!$A$2:$A$32,0)))</f>
        <v/>
      </c>
      <c r="H30">
        <f>IF($A30="","",INDEX(Programs!$L$2:$L$32,MATCH($A30,Programs!$A$2:$A$32,0)))</f>
        <v/>
      </c>
      <c r="I30">
        <f>IF($A30="","",INDEX(Programs!$N$2:$N$32,MATCH($A30,Programs!$A$2:$A$32,0)))</f>
        <v/>
      </c>
      <c r="J30">
        <f>IF($A30="","",INDEX(Programs!$P$2:$P$32,MATCH($A30,Programs!$A$2:$A$32,0)))</f>
        <v/>
      </c>
      <c r="K30" s="7" t="n"/>
      <c r="L30" s="7" t="n"/>
      <c r="M30" s="7" t="n"/>
      <c r="N30" s="7" t="n"/>
      <c r="O30" s="7" t="n"/>
    </row>
    <row r="31">
      <c r="A31" s="7" t="n"/>
      <c r="B31">
        <f>IF($A31="","",INDEX(Programs!$C$2:$C$32,MATCH($A31,Programs!$A$2:$A$32,0)))</f>
        <v/>
      </c>
      <c r="C31" s="8">
        <f>IF($A31="","",INDEX(Programs!$E$2:$E$32,MATCH($A31,Programs!$A$2:$A$32,0)))</f>
        <v/>
      </c>
      <c r="D31">
        <f>IF(ISNUMBER(C31),C31-TODAY(),"")</f>
        <v/>
      </c>
      <c r="E31">
        <f>IF($A31="","",INDEX(Programs!$G$2:$G$32,MATCH($A31,Programs!$A$2:$A$32,0)))</f>
        <v/>
      </c>
      <c r="F31">
        <f>IF($A31="","",INDEX(Programs!$H$2:$H$32,MATCH($A31,Programs!$A$2:$A$32,0)))</f>
        <v/>
      </c>
      <c r="G31">
        <f>IF($A31="","",INDEX(Programs!$I$2:$I$32,MATCH($A31,Programs!$A$2:$A$32,0)))</f>
        <v/>
      </c>
      <c r="H31">
        <f>IF($A31="","",INDEX(Programs!$L$2:$L$32,MATCH($A31,Programs!$A$2:$A$32,0)))</f>
        <v/>
      </c>
      <c r="I31">
        <f>IF($A31="","",INDEX(Programs!$N$2:$N$32,MATCH($A31,Programs!$A$2:$A$32,0)))</f>
        <v/>
      </c>
      <c r="J31">
        <f>IF($A31="","",INDEX(Programs!$P$2:$P$32,MATCH($A31,Programs!$A$2:$A$32,0)))</f>
        <v/>
      </c>
      <c r="K31" s="7" t="n"/>
      <c r="L31" s="7" t="n"/>
      <c r="M31" s="7" t="n"/>
      <c r="N31" s="7" t="n"/>
      <c r="O31" s="7" t="n"/>
    </row>
  </sheetData>
  <dataValidations count="5">
    <dataValidation sqref="A2:A31" showDropDown="0" showInputMessage="0" showErrorMessage="0" allowBlank="1" type="list">
      <formula1>Programs!$A$2:$A$32</formula1>
    </dataValidation>
    <dataValidation sqref="K2:K31" showDropDown="0" showInputMessage="0" showErrorMessage="0" allowBlank="1" type="list">
      <formula1>"Researching,Emailed supervisor,Writing,Submitted,Interview,Offer,Declined,Accepted"</formula1>
    </dataValidation>
    <dataValidation sqref="L2:L31" showDropDown="0" showInputMessage="0" showErrorMessage="0" allowBlank="1" type="list">
      <formula1>"Yes,No"</formula1>
    </dataValidation>
    <dataValidation sqref="M2:M31" showDropDown="0" showInputMessage="0" showErrorMessage="0" allowBlank="1" type="list">
      <formula1>"0,1,2,3"</formula1>
    </dataValidation>
    <dataValidation sqref="N2:N31" showDropDown="0" showInputMessage="0" showErrorMessage="0" allowBlank="1" type="list">
      <formula1>"Not yet,Waiver requested,Waived,Paid"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s>
  <sheetData>
    <row r="1">
      <c r="A1" s="9" t="inlineStr">
        <is>
          <t>Item</t>
        </is>
      </c>
      <c r="B1" s="9" t="inlineStr">
        <is>
          <t>USD</t>
        </is>
      </c>
      <c r="C1" s="9" t="inlineStr">
        <is>
          <t>CAD</t>
        </is>
      </c>
      <c r="D1" s="9" t="inlineStr">
        <is>
          <t>Notes</t>
        </is>
      </c>
    </row>
    <row r="2">
      <c r="A2" t="inlineStr">
        <is>
          <t>Application fees on your shortlist (excludes rows marked Waived)</t>
        </is>
      </c>
      <c r="B2">
        <f>SUMIFS(Shortlist!$E$2:$E$31,Shortlist!$F$2:$F$31,"USD",Shortlist!$N$2:$N$31,"&lt;&gt;Waived")</f>
        <v/>
      </c>
      <c r="C2">
        <f>SUMIFS(Shortlist!$E$2:$E$31,Shortlist!$F$2:$F$31,"CAD",Shortlist!$N$2:$N$31,"&lt;&gt;Waived")</f>
        <v/>
      </c>
      <c r="D2" t="inlineStr">
        <is>
          <t>Calculated</t>
        </is>
      </c>
    </row>
    <row r="3">
      <c r="A3" t="inlineStr">
        <is>
          <t>English test (booking + extra score reports)</t>
        </is>
      </c>
      <c r="B3" s="7" t="n"/>
      <c r="C3" s="7" t="n"/>
      <c r="D3" t="inlineStr">
        <is>
          <t>Enter from the official test website</t>
        </is>
      </c>
    </row>
    <row r="4">
      <c r="A4" t="inlineStr">
        <is>
          <t>GRE / Physics GRE (booking + score reports)</t>
        </is>
      </c>
      <c r="B4" s="7" t="n"/>
      <c r="C4" s="7" t="n"/>
      <c r="D4" t="inlineStr">
        <is>
          <t>Enter only if a program on your list needs it</t>
        </is>
      </c>
    </row>
    <row r="5">
      <c r="A5" t="inlineStr">
        <is>
          <t>Transcripts, credential evaluation, courier</t>
        </is>
      </c>
      <c r="B5" s="7" t="n"/>
      <c r="C5" s="7" t="n"/>
      <c r="D5" t="inlineStr">
        <is>
          <t>Enter from your university / evaluator</t>
        </is>
      </c>
    </row>
    <row r="6">
      <c r="A6" t="inlineStr">
        <is>
          <t>Other</t>
        </is>
      </c>
      <c r="B6" s="7" t="n"/>
      <c r="C6" s="7" t="n"/>
      <c r="D6" t="inlineStr"/>
    </row>
    <row r="7">
      <c r="A7" s="10" t="inlineStr">
        <is>
          <t>Total</t>
        </is>
      </c>
      <c r="B7">
        <f>SUM(B2:B6)</f>
        <v/>
      </c>
      <c r="C7">
        <f>SUM(C2:C6)</f>
        <v/>
      </c>
      <c r="D7" t="inlineStr"/>
    </row>
    <row r="9">
      <c r="A9" t="inlineStr">
        <is>
          <t>Your currency (e.g. INR): rate per 1 USD</t>
        </is>
      </c>
      <c r="B9" s="7" t="n"/>
      <c r="D9" t="inlineStr">
        <is>
          <t>Enter today's rate</t>
        </is>
      </c>
    </row>
    <row r="10">
      <c r="A10" t="inlineStr">
        <is>
          <t>Your currency: rate per 1 CAD</t>
        </is>
      </c>
      <c r="B10" s="7" t="n"/>
      <c r="D10" t="inlineStr">
        <is>
          <t>Enter today's rate</t>
        </is>
      </c>
    </row>
    <row r="11">
      <c r="A11" s="10" t="inlineStr">
        <is>
          <t>Total in your currency</t>
        </is>
      </c>
      <c r="B11">
        <f>IF(OR(B9="",B10=""),"enter rates",B7*B9+C7*B10)</f>
        <v/>
      </c>
      <c r="D11"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18" customWidth="1" min="3" max="3"/>
    <col width="12" customWidth="1" min="4" max="4"/>
    <col width="11" customWidth="1" min="5" max="5"/>
    <col width="36" customWidth="1" min="6" max="6"/>
    <col width="16" customWidth="1" min="7" max="7"/>
    <col width="12" customWidth="1" min="8" max="8"/>
  </cols>
  <sheetData>
    <row r="1">
      <c r="A1" s="3" t="inlineStr">
        <is>
          <t>Recommender</t>
        </is>
      </c>
      <c r="B1" s="3" t="inlineStr">
        <is>
          <t>Email</t>
        </is>
      </c>
      <c r="C1" s="3" t="inlineStr">
        <is>
          <t>Relationship</t>
        </is>
      </c>
      <c r="D1" s="3" t="inlineStr">
        <is>
          <t>Asked on</t>
        </is>
      </c>
      <c r="E1" s="3" t="inlineStr">
        <is>
          <t>Packet sent</t>
        </is>
      </c>
      <c r="F1" s="3" t="inlineStr">
        <is>
          <t>Programs invited</t>
        </is>
      </c>
      <c r="G1" s="3" t="inlineStr">
        <is>
          <t>Status</t>
        </is>
      </c>
      <c r="H1" s="3" t="inlineStr">
        <is>
          <t>Follow up by</t>
        </is>
      </c>
    </row>
    <row r="2">
      <c r="A2" s="7" t="n"/>
      <c r="B2" s="7" t="n"/>
      <c r="C2" s="7" t="n"/>
      <c r="D2" s="11" t="n"/>
      <c r="E2" s="7" t="n"/>
      <c r="F2" s="7" t="n"/>
      <c r="G2" s="7" t="n"/>
      <c r="H2" s="8">
        <f>IF(D2="","",D2+14)</f>
        <v/>
      </c>
    </row>
    <row r="3">
      <c r="A3" s="7" t="n"/>
      <c r="B3" s="7" t="n"/>
      <c r="C3" s="7" t="n"/>
      <c r="D3" s="11" t="n"/>
      <c r="E3" s="7" t="n"/>
      <c r="F3" s="7" t="n"/>
      <c r="G3" s="7" t="n"/>
      <c r="H3" s="8">
        <f>IF(D3="","",D3+14)</f>
        <v/>
      </c>
    </row>
    <row r="4">
      <c r="A4" s="7" t="n"/>
      <c r="B4" s="7" t="n"/>
      <c r="C4" s="7" t="n"/>
      <c r="D4" s="11" t="n"/>
      <c r="E4" s="7" t="n"/>
      <c r="F4" s="7" t="n"/>
      <c r="G4" s="7" t="n"/>
      <c r="H4" s="8">
        <f>IF(D4="","",D4+14)</f>
        <v/>
      </c>
    </row>
    <row r="5">
      <c r="A5" s="7" t="n"/>
      <c r="B5" s="7" t="n"/>
      <c r="C5" s="7" t="n"/>
      <c r="D5" s="11" t="n"/>
      <c r="E5" s="7" t="n"/>
      <c r="F5" s="7" t="n"/>
      <c r="G5" s="7" t="n"/>
      <c r="H5" s="8">
        <f>IF(D5="","",D5+14)</f>
        <v/>
      </c>
    </row>
    <row r="6">
      <c r="A6" s="7" t="n"/>
      <c r="B6" s="7" t="n"/>
      <c r="C6" s="7" t="n"/>
      <c r="D6" s="11" t="n"/>
      <c r="E6" s="7" t="n"/>
      <c r="F6" s="7" t="n"/>
      <c r="G6" s="7" t="n"/>
      <c r="H6" s="8">
        <f>IF(D6="","",D6+14)</f>
        <v/>
      </c>
    </row>
    <row r="7">
      <c r="A7" s="7" t="n"/>
      <c r="B7" s="7" t="n"/>
      <c r="C7" s="7" t="n"/>
      <c r="D7" s="11" t="n"/>
      <c r="E7" s="7" t="n"/>
      <c r="F7" s="7" t="n"/>
      <c r="G7" s="7" t="n"/>
      <c r="H7" s="8">
        <f>IF(D7="","",D7+14)</f>
        <v/>
      </c>
    </row>
    <row r="8">
      <c r="A8" s="7" t="n"/>
      <c r="B8" s="7" t="n"/>
      <c r="C8" s="7" t="n"/>
      <c r="D8" s="11" t="n"/>
      <c r="E8" s="7" t="n"/>
      <c r="F8" s="7" t="n"/>
      <c r="G8" s="7" t="n"/>
      <c r="H8" s="8">
        <f>IF(D8="","",D8+14)</f>
        <v/>
      </c>
    </row>
  </sheetData>
  <dataValidations count="1">
    <dataValidation sqref="G2:G8" showDropDown="0" showInputMessage="0" showErrorMessage="0" allowBlank="1" type="list">
      <formula1>"Not asked,Agreed,Invited,Submitted some,All submitted"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6" customWidth="1" min="3" max="3"/>
    <col width="34" customWidth="1" min="4" max="4"/>
    <col width="12" customWidth="1" min="5" max="5"/>
    <col width="12" customWidth="1" min="6" max="6"/>
    <col width="20" customWidth="1" min="7" max="7"/>
    <col width="30" customWidth="1" min="8" max="8"/>
  </cols>
  <sheetData>
    <row r="1">
      <c r="A1" s="3" t="inlineStr">
        <is>
          <t>Professor</t>
        </is>
      </c>
      <c r="B1" s="3" t="inlineStr">
        <is>
          <t>University</t>
        </is>
      </c>
      <c r="C1" s="3" t="inlineStr">
        <is>
          <t>Group / topic</t>
        </is>
      </c>
      <c r="D1" s="3" t="inlineStr">
        <is>
          <t>Paper you read</t>
        </is>
      </c>
      <c r="E1" s="3" t="inlineStr">
        <is>
          <t>Emailed on</t>
        </is>
      </c>
      <c r="F1" s="3" t="inlineStr">
        <is>
          <t>Follow up on</t>
        </is>
      </c>
      <c r="G1" s="3" t="inlineStr">
        <is>
          <t>Reply</t>
        </is>
      </c>
      <c r="H1" s="3" t="inlineStr">
        <is>
          <t>Next step</t>
        </is>
      </c>
    </row>
    <row r="2">
      <c r="A2" s="7" t="n"/>
      <c r="B2" s="7" t="n"/>
      <c r="C2" s="7" t="n"/>
      <c r="D2" s="7" t="n"/>
      <c r="E2" s="11" t="n"/>
      <c r="F2" s="8">
        <f>IF(E2="","",E2+10)</f>
        <v/>
      </c>
      <c r="G2" s="7" t="n"/>
      <c r="H2" s="7" t="n"/>
    </row>
    <row r="3">
      <c r="A3" s="7" t="n"/>
      <c r="B3" s="7" t="n"/>
      <c r="C3" s="7" t="n"/>
      <c r="D3" s="7" t="n"/>
      <c r="E3" s="11" t="n"/>
      <c r="F3" s="8">
        <f>IF(E3="","",E3+10)</f>
        <v/>
      </c>
      <c r="G3" s="7" t="n"/>
      <c r="H3" s="7" t="n"/>
    </row>
    <row r="4">
      <c r="A4" s="7" t="n"/>
      <c r="B4" s="7" t="n"/>
      <c r="C4" s="7" t="n"/>
      <c r="D4" s="7" t="n"/>
      <c r="E4" s="11" t="n"/>
      <c r="F4" s="8">
        <f>IF(E4="","",E4+10)</f>
        <v/>
      </c>
      <c r="G4" s="7" t="n"/>
      <c r="H4" s="7" t="n"/>
    </row>
    <row r="5">
      <c r="A5" s="7" t="n"/>
      <c r="B5" s="7" t="n"/>
      <c r="C5" s="7" t="n"/>
      <c r="D5" s="7" t="n"/>
      <c r="E5" s="11" t="n"/>
      <c r="F5" s="8">
        <f>IF(E5="","",E5+10)</f>
        <v/>
      </c>
      <c r="G5" s="7" t="n"/>
      <c r="H5" s="7" t="n"/>
    </row>
    <row r="6">
      <c r="A6" s="7" t="n"/>
      <c r="B6" s="7" t="n"/>
      <c r="C6" s="7" t="n"/>
      <c r="D6" s="7" t="n"/>
      <c r="E6" s="11" t="n"/>
      <c r="F6" s="8">
        <f>IF(E6="","",E6+10)</f>
        <v/>
      </c>
      <c r="G6" s="7" t="n"/>
      <c r="H6" s="7" t="n"/>
    </row>
    <row r="7">
      <c r="A7" s="7" t="n"/>
      <c r="B7" s="7" t="n"/>
      <c r="C7" s="7" t="n"/>
      <c r="D7" s="7" t="n"/>
      <c r="E7" s="11" t="n"/>
      <c r="F7" s="8">
        <f>IF(E7="","",E7+10)</f>
        <v/>
      </c>
      <c r="G7" s="7" t="n"/>
      <c r="H7" s="7" t="n"/>
    </row>
    <row r="8">
      <c r="A8" s="7" t="n"/>
      <c r="B8" s="7" t="n"/>
      <c r="C8" s="7" t="n"/>
      <c r="D8" s="7" t="n"/>
      <c r="E8" s="11" t="n"/>
      <c r="F8" s="8">
        <f>IF(E8="","",E8+10)</f>
        <v/>
      </c>
      <c r="G8" s="7" t="n"/>
      <c r="H8" s="7" t="n"/>
    </row>
    <row r="9">
      <c r="A9" s="7" t="n"/>
      <c r="B9" s="7" t="n"/>
      <c r="C9" s="7" t="n"/>
      <c r="D9" s="7" t="n"/>
      <c r="E9" s="11" t="n"/>
      <c r="F9" s="8">
        <f>IF(E9="","",E9+10)</f>
        <v/>
      </c>
      <c r="G9" s="7" t="n"/>
      <c r="H9" s="7" t="n"/>
    </row>
    <row r="10">
      <c r="A10" s="7" t="n"/>
      <c r="B10" s="7" t="n"/>
      <c r="C10" s="7" t="n"/>
      <c r="D10" s="7" t="n"/>
      <c r="E10" s="11" t="n"/>
      <c r="F10" s="8">
        <f>IF(E10="","",E10+10)</f>
        <v/>
      </c>
      <c r="G10" s="7" t="n"/>
      <c r="H10" s="7" t="n"/>
    </row>
    <row r="11">
      <c r="A11" s="7" t="n"/>
      <c r="B11" s="7" t="n"/>
      <c r="C11" s="7" t="n"/>
      <c r="D11" s="7" t="n"/>
      <c r="E11" s="11" t="n"/>
      <c r="F11" s="8">
        <f>IF(E11="","",E11+10)</f>
        <v/>
      </c>
      <c r="G11" s="7" t="n"/>
      <c r="H11" s="7" t="n"/>
    </row>
    <row r="12">
      <c r="A12" s="7" t="n"/>
      <c r="B12" s="7" t="n"/>
      <c r="C12" s="7" t="n"/>
      <c r="D12" s="7" t="n"/>
      <c r="E12" s="11" t="n"/>
      <c r="F12" s="8">
        <f>IF(E12="","",E12+10)</f>
        <v/>
      </c>
      <c r="G12" s="7" t="n"/>
      <c r="H12" s="7" t="n"/>
    </row>
    <row r="13">
      <c r="A13" s="7" t="n"/>
      <c r="B13" s="7" t="n"/>
      <c r="C13" s="7" t="n"/>
      <c r="D13" s="7" t="n"/>
      <c r="E13" s="11" t="n"/>
      <c r="F13" s="8">
        <f>IF(E13="","",E13+10)</f>
        <v/>
      </c>
      <c r="G13" s="7" t="n"/>
      <c r="H13" s="7" t="n"/>
    </row>
    <row r="14">
      <c r="A14" s="7" t="n"/>
      <c r="B14" s="7" t="n"/>
      <c r="C14" s="7" t="n"/>
      <c r="D14" s="7" t="n"/>
      <c r="E14" s="11" t="n"/>
      <c r="F14" s="8">
        <f>IF(E14="","",E14+10)</f>
        <v/>
      </c>
      <c r="G14" s="7" t="n"/>
      <c r="H14" s="7" t="n"/>
    </row>
    <row r="15">
      <c r="A15" s="7" t="n"/>
      <c r="B15" s="7" t="n"/>
      <c r="C15" s="7" t="n"/>
      <c r="D15" s="7" t="n"/>
      <c r="E15" s="11" t="n"/>
      <c r="F15" s="8">
        <f>IF(E15="","",E15+10)</f>
        <v/>
      </c>
      <c r="G15" s="7" t="n"/>
      <c r="H15" s="7" t="n"/>
    </row>
    <row r="16">
      <c r="A16" s="7" t="n"/>
      <c r="B16" s="7" t="n"/>
      <c r="C16" s="7" t="n"/>
      <c r="D16" s="7" t="n"/>
      <c r="E16" s="11" t="n"/>
      <c r="F16" s="8">
        <f>IF(E16="","",E16+10)</f>
        <v/>
      </c>
      <c r="G16" s="7" t="n"/>
      <c r="H16" s="7" t="n"/>
    </row>
    <row r="17">
      <c r="A17" s="7" t="n"/>
      <c r="B17" s="7" t="n"/>
      <c r="C17" s="7" t="n"/>
      <c r="D17" s="7" t="n"/>
      <c r="E17" s="11" t="n"/>
      <c r="F17" s="8">
        <f>IF(E17="","",E17+10)</f>
        <v/>
      </c>
      <c r="G17" s="7" t="n"/>
      <c r="H17" s="7" t="n"/>
    </row>
    <row r="18">
      <c r="A18" s="7" t="n"/>
      <c r="B18" s="7" t="n"/>
      <c r="C18" s="7" t="n"/>
      <c r="D18" s="7" t="n"/>
      <c r="E18" s="11" t="n"/>
      <c r="F18" s="8">
        <f>IF(E18="","",E18+10)</f>
        <v/>
      </c>
      <c r="G18" s="7" t="n"/>
      <c r="H18" s="7" t="n"/>
    </row>
    <row r="19">
      <c r="A19" s="7" t="n"/>
      <c r="B19" s="7" t="n"/>
      <c r="C19" s="7" t="n"/>
      <c r="D19" s="7" t="n"/>
      <c r="E19" s="11" t="n"/>
      <c r="F19" s="8">
        <f>IF(E19="","",E19+10)</f>
        <v/>
      </c>
      <c r="G19" s="7" t="n"/>
      <c r="H19" s="7" t="n"/>
    </row>
    <row r="20">
      <c r="A20" s="7" t="n"/>
      <c r="B20" s="7" t="n"/>
      <c r="C20" s="7" t="n"/>
      <c r="D20" s="7" t="n"/>
      <c r="E20" s="11" t="n"/>
      <c r="F20" s="8">
        <f>IF(E20="","",E20+10)</f>
        <v/>
      </c>
      <c r="G20" s="7" t="n"/>
      <c r="H20" s="7" t="n"/>
    </row>
    <row r="21">
      <c r="A21" s="7" t="n"/>
      <c r="B21" s="7" t="n"/>
      <c r="C21" s="7" t="n"/>
      <c r="D21" s="7" t="n"/>
      <c r="E21" s="11" t="n"/>
      <c r="F21" s="8">
        <f>IF(E21="","",E21+10)</f>
        <v/>
      </c>
      <c r="G21" s="7" t="n"/>
      <c r="H21" s="7" t="n"/>
    </row>
    <row r="22">
      <c r="A22" s="7" t="n"/>
      <c r="B22" s="7" t="n"/>
      <c r="C22" s="7" t="n"/>
      <c r="D22" s="7" t="n"/>
      <c r="E22" s="11" t="n"/>
      <c r="F22" s="8">
        <f>IF(E22="","",E22+10)</f>
        <v/>
      </c>
      <c r="G22" s="7" t="n"/>
      <c r="H22" s="7" t="n"/>
    </row>
    <row r="23">
      <c r="A23" s="7" t="n"/>
      <c r="B23" s="7" t="n"/>
      <c r="C23" s="7" t="n"/>
      <c r="D23" s="7" t="n"/>
      <c r="E23" s="11" t="n"/>
      <c r="F23" s="8">
        <f>IF(E23="","",E23+10)</f>
        <v/>
      </c>
      <c r="G23" s="7" t="n"/>
      <c r="H23" s="7" t="n"/>
    </row>
    <row r="24">
      <c r="A24" s="7" t="n"/>
      <c r="B24" s="7" t="n"/>
      <c r="C24" s="7" t="n"/>
      <c r="D24" s="7" t="n"/>
      <c r="E24" s="11" t="n"/>
      <c r="F24" s="8">
        <f>IF(E24="","",E24+10)</f>
        <v/>
      </c>
      <c r="G24" s="7" t="n"/>
      <c r="H24" s="7" t="n"/>
    </row>
    <row r="25">
      <c r="A25" s="7" t="n"/>
      <c r="B25" s="7" t="n"/>
      <c r="C25" s="7" t="n"/>
      <c r="D25" s="7" t="n"/>
      <c r="E25" s="11" t="n"/>
      <c r="F25" s="8">
        <f>IF(E25="","",E25+10)</f>
        <v/>
      </c>
      <c r="G25" s="7" t="n"/>
      <c r="H25" s="7" t="n"/>
    </row>
    <row r="26">
      <c r="A26" s="7" t="n"/>
      <c r="B26" s="7" t="n"/>
      <c r="C26" s="7" t="n"/>
      <c r="D26" s="7" t="n"/>
      <c r="E26" s="11" t="n"/>
      <c r="F26" s="8">
        <f>IF(E26="","",E26+10)</f>
        <v/>
      </c>
      <c r="G26" s="7" t="n"/>
      <c r="H26" s="7" t="n"/>
    </row>
    <row r="27">
      <c r="A27" s="7" t="n"/>
      <c r="B27" s="7" t="n"/>
      <c r="C27" s="7" t="n"/>
      <c r="D27" s="7" t="n"/>
      <c r="E27" s="11" t="n"/>
      <c r="F27" s="8">
        <f>IF(E27="","",E27+10)</f>
        <v/>
      </c>
      <c r="G27" s="7" t="n"/>
      <c r="H27" s="7" t="n"/>
    </row>
    <row r="28">
      <c r="A28" s="7" t="n"/>
      <c r="B28" s="7" t="n"/>
      <c r="C28" s="7" t="n"/>
      <c r="D28" s="7" t="n"/>
      <c r="E28" s="11" t="n"/>
      <c r="F28" s="8">
        <f>IF(E28="","",E28+10)</f>
        <v/>
      </c>
      <c r="G28" s="7" t="n"/>
      <c r="H28" s="7" t="n"/>
    </row>
    <row r="29">
      <c r="A29" s="7" t="n"/>
      <c r="B29" s="7" t="n"/>
      <c r="C29" s="7" t="n"/>
      <c r="D29" s="7" t="n"/>
      <c r="E29" s="11" t="n"/>
      <c r="F29" s="8">
        <f>IF(E29="","",E29+10)</f>
        <v/>
      </c>
      <c r="G29" s="7" t="n"/>
      <c r="H29" s="7" t="n"/>
    </row>
    <row r="30">
      <c r="A30" s="7" t="n"/>
      <c r="B30" s="7" t="n"/>
      <c r="C30" s="7" t="n"/>
      <c r="D30" s="7" t="n"/>
      <c r="E30" s="11" t="n"/>
      <c r="F30" s="8">
        <f>IF(E30="","",E30+10)</f>
        <v/>
      </c>
      <c r="G30" s="7" t="n"/>
      <c r="H30" s="7" t="n"/>
    </row>
  </sheetData>
  <dataValidations count="1">
    <dataValidation sqref="G2:G30" showDropDown="0" showInputMessage="0" showErrorMessage="0" allowBlank="1" type="list">
      <formula1>"No reply yet,Positive,Apply and mention me,Not taking students,Other"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14" customWidth="1" min="3" max="3"/>
    <col width="40" customWidth="1" min="4" max="4"/>
    <col width="70" customWidth="1" min="5" max="5"/>
    <col width="40" customWidth="1" min="6" max="6"/>
    <col width="18" customWidth="1" min="7" max="7"/>
    <col width="11" customWidth="1" min="8" max="8"/>
  </cols>
  <sheetData>
    <row r="1">
      <c r="A1" s="3" t="inlineStr">
        <is>
          <t>Program</t>
        </is>
      </c>
      <c r="B1" s="3" t="inlineStr">
        <is>
          <t>Field</t>
        </is>
      </c>
      <c r="C1" s="3" t="inlineStr">
        <is>
          <t>Code</t>
        </is>
      </c>
      <c r="D1" s="3" t="inlineStr">
        <is>
          <t>Value</t>
        </is>
      </c>
      <c r="E1" s="3" t="inlineStr">
        <is>
          <t>Official quote</t>
        </is>
      </c>
      <c r="F1" s="3" t="inlineStr">
        <is>
          <t>Source URL</t>
        </is>
      </c>
      <c r="G1" s="3" t="inlineStr">
        <is>
          <t>Flags</t>
        </is>
      </c>
      <c r="H1" s="3" t="inlineStr">
        <is>
          <t>Checked</t>
        </is>
      </c>
    </row>
    <row r="2">
      <c r="A2" s="4" t="inlineStr">
        <is>
          <t>Boston University</t>
        </is>
      </c>
      <c r="B2" s="4" t="inlineStr">
        <is>
          <t>Deadline (Fall 2027)</t>
        </is>
      </c>
      <c r="C2" s="4" t="inlineStr">
        <is>
          <t>2026-12-15</t>
        </is>
      </c>
      <c r="D2" s="4" t="inlineStr">
        <is>
          <t>December 15, 23:59 ET; all documents must be posted. Year inferred.</t>
        </is>
      </c>
      <c r="E2" s="4" t="inlineStr">
        <is>
          <t>The application portal will remain open until 23:59 ET on December 15.</t>
        </is>
      </c>
      <c r="F2" s="4" t="inlineStr">
        <is>
          <t>https://www.bu.edu/physics/graduate-program/graduate-program-admissions/</t>
        </is>
      </c>
      <c r="G2" s="4" t="inlineStr">
        <is>
          <t>year inferred</t>
        </is>
      </c>
      <c r="H2" s="4" t="inlineStr">
        <is>
          <t>2026-10-21</t>
        </is>
      </c>
    </row>
    <row r="3">
      <c r="A3" s="4" t="inlineStr">
        <is>
          <t>Boston University</t>
        </is>
      </c>
      <c r="B3" s="4" t="inlineStr">
        <is>
          <t>Application fee</t>
        </is>
      </c>
      <c r="C3" s="4" t="inlineStr">
        <is>
          <t>95 USD</t>
        </is>
      </c>
      <c r="D3" s="4" t="inlineStr">
        <is>
          <t>USD 95</t>
        </is>
      </c>
      <c r="E3" s="4" t="inlineStr">
        <is>
          <t>A $95 application fee.</t>
        </is>
      </c>
      <c r="F3" s="4" t="inlineStr">
        <is>
          <t>https://www.bu.edu/physics/graduate-program/graduate-program-admissions/</t>
        </is>
      </c>
      <c r="G3" s="4" t="inlineStr"/>
      <c r="H3" s="4" t="inlineStr">
        <is>
          <t>2026-10-21</t>
        </is>
      </c>
    </row>
    <row r="4">
      <c r="A4" s="4" t="inlineStr">
        <is>
          <t>Boston University</t>
        </is>
      </c>
      <c r="B4" s="4" t="inlineStr">
        <is>
          <t>Intl fee waiver</t>
        </is>
      </c>
      <c r="C4" s="4" t="inlineStr">
        <is>
          <t>Domestic only</t>
        </is>
      </c>
      <c r="D4" s="4" t="inlineStr">
        <is>
          <t>Central office waivers are domestic-only; international applicants may ask the program directly</t>
        </is>
      </c>
      <c r="E4" s="4" t="inlineStr">
        <is>
          <t>The central admission office of the Graduate School does not offer application fee waivers to international applicants.</t>
        </is>
      </c>
      <c r="F4" s="4" t="inlineStr">
        <is>
          <t>https://www.bu.edu/cas/admissions/phd-mfa/apply/fee-waiver/</t>
        </is>
      </c>
      <c r="G4" s="4" t="inlineStr"/>
      <c r="H4" s="4" t="inlineStr">
        <is>
          <t>2026-10-21</t>
        </is>
      </c>
    </row>
    <row r="5">
      <c r="A5" s="4" t="inlineStr">
        <is>
          <t>Boston University</t>
        </is>
      </c>
      <c r="B5" s="4" t="inlineStr">
        <is>
          <t>GRE General</t>
        </is>
      </c>
      <c r="C5" s="4" t="inlineStr">
        <is>
          <t>Optional</t>
        </is>
      </c>
      <c r="D5" s="4" t="inlineStr">
        <is>
          <t>Optional but strongly recommended if circumstances allow</t>
        </is>
      </c>
      <c r="E5" s="4" t="inlineStr">
        <is>
          <t>The general GRE and physics GRE are optional for all applicants to the Physics Ph.D. program. However, we strongly recommend that applicants submit their GRE and physics GRE scores with their applications, if circumstances allow.</t>
        </is>
      </c>
      <c r="F5" s="4" t="inlineStr">
        <is>
          <t>https://www.bu.edu/physics/graduate-program/graduate-program-admissions/</t>
        </is>
      </c>
      <c r="G5" s="4" t="inlineStr"/>
      <c r="H5" s="4" t="inlineStr">
        <is>
          <t>2026-10-21</t>
        </is>
      </c>
    </row>
    <row r="6">
      <c r="A6" s="4" t="inlineStr">
        <is>
          <t>Boston University</t>
        </is>
      </c>
      <c r="B6" s="4" t="inlineStr">
        <is>
          <t>Physics GRE</t>
        </is>
      </c>
      <c r="C6" s="4" t="inlineStr">
        <is>
          <t>Recommended</t>
        </is>
      </c>
      <c r="D6" s="4" t="inlineStr">
        <is>
          <t>Optional but strongly recommended</t>
        </is>
      </c>
      <c r="E6" s="4" t="inlineStr">
        <is>
          <t>we strongly recommend that applicants submit their GRE and physics GRE scores with their applications, if circumstances allow.</t>
        </is>
      </c>
      <c r="F6" s="4" t="inlineStr">
        <is>
          <t>https://www.bu.edu/physics/graduate-program/graduate-program-admissions/</t>
        </is>
      </c>
      <c r="G6" s="4" t="inlineStr"/>
      <c r="H6" s="4" t="inlineStr">
        <is>
          <t>2026-10-21</t>
        </is>
      </c>
    </row>
    <row r="7">
      <c r="A7" s="4" t="inlineStr">
        <is>
          <t>Boston University</t>
        </is>
      </c>
      <c r="B7" s="4" t="inlineStr">
        <is>
          <t>TOEFL minimum</t>
        </is>
      </c>
      <c r="C7" s="4" t="inlineStr">
        <is>
          <t>Not stated</t>
        </is>
      </c>
      <c r="D7" s="4" t="inlineStr">
        <is>
          <t>Must meet Graduate School minimum; not shown on the page checked</t>
        </is>
      </c>
      <c r="E7" s="4" t="inlineStr">
        <is>
          <t>Official English proficiency score report sent directly from testing organization which meets the minimum requirements.</t>
        </is>
      </c>
      <c r="F7" s="4" t="inlineStr">
        <is>
          <t>https://www.bu.edu/physics/graduate-program/graduate-program-admissions/</t>
        </is>
      </c>
      <c r="G7" s="4" t="inlineStr"/>
      <c r="H7" s="4" t="inlineStr">
        <is>
          <t>2026-10-21</t>
        </is>
      </c>
    </row>
    <row r="8">
      <c r="A8" s="4" t="inlineStr">
        <is>
          <t>Boston University</t>
        </is>
      </c>
      <c r="B8" s="4" t="inlineStr">
        <is>
          <t>English-test waiver (English-medium degree)</t>
        </is>
      </c>
      <c r="C8" s="4" t="inlineStr">
        <is>
          <t>Not stated</t>
        </is>
      </c>
      <c r="D8" s="4" t="inlineStr">
        <is>
          <t>Not stated on the page checked</t>
        </is>
      </c>
      <c r="E8" s="4" t="inlineStr">
        <is>
          <t>(no statement found)</t>
        </is>
      </c>
      <c r="F8" s="4" t="inlineStr">
        <is>
          <t>https://www.bu.edu/physics/graduate-program/graduate-program-admissions/</t>
        </is>
      </c>
      <c r="G8" s="4" t="inlineStr"/>
      <c r="H8" s="4" t="inlineStr">
        <is>
          <t>2026-10-21</t>
        </is>
      </c>
    </row>
    <row r="9">
      <c r="A9" s="4" t="inlineStr">
        <is>
          <t>Boston University</t>
        </is>
      </c>
      <c r="B9" s="4" t="inlineStr">
        <is>
          <t>Supervisor before admission</t>
        </is>
      </c>
      <c r="C9" s="4" t="inlineStr">
        <is>
          <t>Not stated</t>
        </is>
      </c>
      <c r="D9" s="4" t="inlineStr">
        <is>
          <t>No pre-application supervisor requirement mentioned</t>
        </is>
      </c>
      <c r="E9" s="4" t="inlineStr">
        <is>
          <t>(no statement found)</t>
        </is>
      </c>
      <c r="F9" s="4" t="inlineStr">
        <is>
          <t>https://www.bu.edu/physics/graduate-program/graduate-program-admissions/</t>
        </is>
      </c>
      <c r="G9" s="4" t="inlineStr"/>
      <c r="H9" s="4" t="inlineStr">
        <is>
          <t>2026-10-21</t>
        </is>
      </c>
    </row>
    <row r="10">
      <c r="A10" s="4" t="inlineStr">
        <is>
          <t>Boston University</t>
        </is>
      </c>
      <c r="B10" s="4" t="inlineStr">
        <is>
          <t>PhD funding</t>
        </is>
      </c>
      <c r="C10" s="4" t="inlineStr">
        <is>
          <t>Typical</t>
        </is>
      </c>
      <c r="D10" s="4" t="inlineStr">
        <is>
          <t>RAs and TAs receive tuition, fees and basic medical insurance plus a stipend</t>
        </is>
      </c>
      <c r="E10" s="4" t="inlineStr">
        <is>
          <t>Both research and teaching assistants receive a scholarship for tuition, fees and basic medical insurance, as well as a stipend.</t>
        </is>
      </c>
      <c r="F10" s="4" t="inlineStr">
        <is>
          <t>https://www.bu.edu/physics/graduate-program/graduate-program-admissions/</t>
        </is>
      </c>
      <c r="G10" s="4" t="inlineStr"/>
      <c r="H10" s="4" t="inlineStr">
        <is>
          <t>2026-10-21</t>
        </is>
      </c>
    </row>
    <row r="11">
      <c r="A11" s="4" t="inlineStr">
        <is>
          <t>Boston University</t>
        </is>
      </c>
      <c r="B11" s="4" t="inlineStr">
        <is>
          <t>Entry route</t>
        </is>
      </c>
      <c r="C11" s="4" t="inlineStr">
        <is>
          <t>Not stated</t>
        </is>
      </c>
      <c r="D11" s="4" t="inlineStr">
        <is>
          <t>Not stated on the page checked</t>
        </is>
      </c>
      <c r="E11" s="4" t="inlineStr">
        <is>
          <t>(no statement found)</t>
        </is>
      </c>
      <c r="F11" s="4" t="inlineStr">
        <is>
          <t>https://www.bu.edu/physics/graduate-program/graduate-program-admissions/</t>
        </is>
      </c>
      <c r="G11" s="4" t="inlineStr"/>
      <c r="H11" s="4" t="inlineStr">
        <is>
          <t>2026-10-21</t>
        </is>
      </c>
    </row>
    <row r="12">
      <c r="A12" s="4" t="inlineStr">
        <is>
          <t>California Institute of Technology</t>
        </is>
      </c>
      <c r="B12" s="4" t="inlineStr">
        <is>
          <t>Deadline (Fall 2027)</t>
        </is>
      </c>
      <c r="C12" s="4" t="inlineStr">
        <is>
          <t>2026-12-15</t>
        </is>
      </c>
      <c r="D12" s="4" t="inlineStr">
        <is>
          <t>December 15 (catalog). Year inferred for Fall 2027.</t>
        </is>
      </c>
      <c r="E12" s="4" t="inlineStr">
        <is>
          <t>The application submission deadline for physics is December 15.</t>
        </is>
      </c>
      <c r="F12" s="4" t="inlineStr">
        <is>
          <t>https://catalog.caltech.edu/current/information-for-graduate-students/special-regulations-for-graduate-options/physics-ph/</t>
        </is>
      </c>
      <c r="G12" s="4" t="inlineStr">
        <is>
          <t>year inferred</t>
        </is>
      </c>
      <c r="H12" s="4" t="inlineStr">
        <is>
          <t>2026-10-21</t>
        </is>
      </c>
    </row>
    <row r="13">
      <c r="A13" s="4" t="inlineStr">
        <is>
          <t>California Institute of Technology</t>
        </is>
      </c>
      <c r="B13" s="4" t="inlineStr">
        <is>
          <t>Application fee</t>
        </is>
      </c>
      <c r="C13" s="4" t="inlineStr">
        <is>
          <t>Not stated</t>
        </is>
      </c>
      <c r="D13" s="4" t="inlineStr">
        <is>
          <t>Amount not shown on the pages checked</t>
        </is>
      </c>
      <c r="E13" s="4" t="inlineStr">
        <is>
          <t>(no statement found)</t>
        </is>
      </c>
      <c r="F13" s="4" t="inlineStr">
        <is>
          <t>https://physics.caltech.edu/academics/graduate-studies/information-for-applicants</t>
        </is>
      </c>
      <c r="G13" s="4" t="inlineStr"/>
      <c r="H13" s="4" t="inlineStr">
        <is>
          <t>2026-10-21</t>
        </is>
      </c>
    </row>
    <row r="14">
      <c r="A14" s="4" t="inlineStr">
        <is>
          <t>California Institute of Technology</t>
        </is>
      </c>
      <c r="B14" s="4" t="inlineStr">
        <is>
          <t>Intl fee waiver</t>
        </is>
      </c>
      <c r="C14" s="4" t="inlineStr">
        <is>
          <t>Limited</t>
        </is>
      </c>
      <c r="D14" s="4" t="inlineStr">
        <is>
          <t>Waivers are requested inside the online application; eligibility rules are not stated on the department page</t>
        </is>
      </c>
      <c r="E14" s="4" t="inlineStr">
        <is>
          <t>Application fee waivers are also requested and processed through the application process.</t>
        </is>
      </c>
      <c r="F14" s="4" t="inlineStr">
        <is>
          <t>https://physics.caltech.edu/academics/graduate-studies/information-for-applicants</t>
        </is>
      </c>
      <c r="G14" s="4" t="inlineStr"/>
      <c r="H14" s="4" t="inlineStr">
        <is>
          <t>2026-10-21</t>
        </is>
      </c>
    </row>
    <row r="15">
      <c r="A15" s="4" t="inlineStr">
        <is>
          <t>California Institute of Technology</t>
        </is>
      </c>
      <c r="B15" s="4" t="inlineStr">
        <is>
          <t>GRE General</t>
        </is>
      </c>
      <c r="C15" s="4" t="inlineStr">
        <is>
          <t>Recommended</t>
        </is>
      </c>
      <c r="D15" s="4" t="inlineStr">
        <is>
          <t>Recommended, not required; considered if submitted</t>
        </is>
      </c>
      <c r="E15" s="4" t="inlineStr">
        <is>
          <t>Important graduate admissions update for applicants to the Fall 2027 cohort: The GRE general test is recommended and the GRE physics subject test is required.</t>
        </is>
      </c>
      <c r="F15" s="4" t="inlineStr">
        <is>
          <t>https://physics.caltech.edu/academics/graduate-studies/information-for-applicants</t>
        </is>
      </c>
      <c r="G15" s="4" t="inlineStr"/>
      <c r="H15" s="4" t="inlineStr">
        <is>
          <t>2026-10-21</t>
        </is>
      </c>
    </row>
    <row r="16">
      <c r="A16" s="4" t="inlineStr">
        <is>
          <t>California Institute of Technology</t>
        </is>
      </c>
      <c r="B16" s="4" t="inlineStr">
        <is>
          <t>Physics GRE</t>
        </is>
      </c>
      <c r="C16" s="4" t="inlineStr">
        <is>
          <t>Required</t>
        </is>
      </c>
      <c r="D16" s="4" t="inlineStr">
        <is>
          <t>Physics GRE REQUIRED for the Fall 2027 cohort</t>
        </is>
      </c>
      <c r="E16" s="4" t="inlineStr">
        <is>
          <t>The GRE general test is recommended and the GRE physics subject test is required.</t>
        </is>
      </c>
      <c r="F16" s="4" t="inlineStr">
        <is>
          <t>https://physics.caltech.edu/academics/graduate-studies/information-for-applicants</t>
        </is>
      </c>
      <c r="G16" s="4" t="inlineStr"/>
      <c r="H16" s="4" t="inlineStr">
        <is>
          <t>2026-10-21</t>
        </is>
      </c>
    </row>
    <row r="17">
      <c r="A17" s="4" t="inlineStr">
        <is>
          <t>California Institute of Technology</t>
        </is>
      </c>
      <c r="B17" s="4" t="inlineStr">
        <is>
          <t>TOEFL minimum</t>
        </is>
      </c>
      <c r="C17" s="4" t="inlineStr">
        <is>
          <t>Not stated</t>
        </is>
      </c>
      <c r="D17" s="4" t="inlineStr">
        <is>
          <t>Not shown on the department page checked</t>
        </is>
      </c>
      <c r="E17" s="4" t="inlineStr">
        <is>
          <t>(no statement found)</t>
        </is>
      </c>
      <c r="F17" s="4" t="inlineStr">
        <is>
          <t>https://physics.caltech.edu/academics/graduate-studies/information-for-applicants</t>
        </is>
      </c>
      <c r="G17" s="4" t="inlineStr"/>
      <c r="H17" s="4" t="inlineStr">
        <is>
          <t>2026-10-21</t>
        </is>
      </c>
    </row>
    <row r="18">
      <c r="A18" s="4" t="inlineStr">
        <is>
          <t>California Institute of Technology</t>
        </is>
      </c>
      <c r="B18" s="4" t="inlineStr">
        <is>
          <t>English-test waiver (English-medium degree)</t>
        </is>
      </c>
      <c r="C18" s="4" t="inlineStr">
        <is>
          <t>Not stated</t>
        </is>
      </c>
      <c r="D18" s="4" t="inlineStr">
        <is>
          <t>Not stated on the page checked</t>
        </is>
      </c>
      <c r="E18" s="4" t="inlineStr">
        <is>
          <t>(no statement found)</t>
        </is>
      </c>
      <c r="F18" s="4" t="inlineStr">
        <is>
          <t>https://physics.caltech.edu/academics/graduate-studies/information-for-applicants</t>
        </is>
      </c>
      <c r="G18" s="4" t="inlineStr"/>
      <c r="H18" s="4" t="inlineStr">
        <is>
          <t>2026-10-21</t>
        </is>
      </c>
    </row>
    <row r="19">
      <c r="A19" s="4" t="inlineStr">
        <is>
          <t>California Institute of Technology</t>
        </is>
      </c>
      <c r="B19" s="4" t="inlineStr">
        <is>
          <t>Supervisor before admission</t>
        </is>
      </c>
      <c r="C19" s="4" t="inlineStr">
        <is>
          <t>Not stated</t>
        </is>
      </c>
      <c r="D19" s="4" t="inlineStr">
        <is>
          <t>No pre-application supervisor requirement mentioned</t>
        </is>
      </c>
      <c r="E19" s="4" t="inlineStr">
        <is>
          <t>(no statement found)</t>
        </is>
      </c>
      <c r="F19" s="4" t="inlineStr">
        <is>
          <t>https://physics.caltech.edu/academics/graduate-studies/information-for-applicants</t>
        </is>
      </c>
      <c r="G19" s="4" t="inlineStr"/>
      <c r="H19" s="4" t="inlineStr">
        <is>
          <t>2026-10-21</t>
        </is>
      </c>
    </row>
    <row r="20">
      <c r="A20" s="4" t="inlineStr">
        <is>
          <t>California Institute of Technology</t>
        </is>
      </c>
      <c r="B20" s="4" t="inlineStr">
        <is>
          <t>PhD funding</t>
        </is>
      </c>
      <c r="C20" s="4" t="inlineStr">
        <is>
          <t>Not stated</t>
        </is>
      </c>
      <c r="D20" s="4" t="inlineStr">
        <is>
          <t>Not stated on the page checked</t>
        </is>
      </c>
      <c r="E20" s="4" t="inlineStr">
        <is>
          <t>(no statement found)</t>
        </is>
      </c>
      <c r="F20" s="4" t="inlineStr">
        <is>
          <t>https://physics.caltech.edu/academics/graduate-studies/information-for-applicants</t>
        </is>
      </c>
      <c r="G20" s="4" t="inlineStr"/>
      <c r="H20" s="4" t="inlineStr">
        <is>
          <t>2026-10-21</t>
        </is>
      </c>
    </row>
    <row r="21">
      <c r="A21" s="4" t="inlineStr">
        <is>
          <t>California Institute of Technology</t>
        </is>
      </c>
      <c r="B21" s="4" t="inlineStr">
        <is>
          <t>Entry route</t>
        </is>
      </c>
      <c r="C21" s="4" t="inlineStr">
        <is>
          <t>Not stated</t>
        </is>
      </c>
      <c r="D21" s="4" t="inlineStr">
        <is>
          <t>Not stated on the page checked</t>
        </is>
      </c>
      <c r="E21" s="4" t="inlineStr">
        <is>
          <t>(no statement found)</t>
        </is>
      </c>
      <c r="F21" s="4" t="inlineStr">
        <is>
          <t>https://physics.caltech.edu/academics/graduate-studies/information-for-applicants</t>
        </is>
      </c>
      <c r="G21" s="4" t="inlineStr"/>
      <c r="H21" s="4" t="inlineStr">
        <is>
          <t>2026-10-21</t>
        </is>
      </c>
    </row>
    <row r="22">
      <c r="A22" s="4" t="inlineStr">
        <is>
          <t>Columbia University</t>
        </is>
      </c>
      <c r="B22" s="4" t="inlineStr">
        <is>
          <t>Deadline (Fall 2027)</t>
        </is>
      </c>
      <c r="C22" s="4" t="inlineStr">
        <is>
          <t>2026-12-03</t>
        </is>
      </c>
      <c r="D22" s="4" t="inlineStr">
        <is>
          <t>December 3, 2026 for Fall 2027 (early!)</t>
        </is>
      </c>
      <c r="E22" s="4" t="inlineStr">
        <is>
          <t>Applications for students wishing to enroll in the Physics PhD program for Fall 2027 are due by December 3, 2026.</t>
        </is>
      </c>
      <c r="F22" s="4" t="inlineStr">
        <is>
          <t>https://www.physics.columbia.edu/content/applying-columbia-physics-graduate-program</t>
        </is>
      </c>
      <c r="G22" s="4" t="inlineStr"/>
      <c r="H22" s="4" t="inlineStr">
        <is>
          <t>2026-10-21</t>
        </is>
      </c>
    </row>
    <row r="23">
      <c r="A23" s="4" t="inlineStr">
        <is>
          <t>Columbia University</t>
        </is>
      </c>
      <c r="B23" s="4" t="inlineStr">
        <is>
          <t>Application fee</t>
        </is>
      </c>
      <c r="C23" s="4" t="inlineStr">
        <is>
          <t>120 USD</t>
        </is>
      </c>
      <c r="D23" s="4" t="inlineStr">
        <is>
          <t>USD 120 non-refundable</t>
        </is>
      </c>
      <c r="E23" s="4" t="inlineStr">
        <is>
          <t>A nonrefundable fee of $120 must accompany the completed form.</t>
        </is>
      </c>
      <c r="F23" s="4" t="inlineStr">
        <is>
          <t>https://www.physics.columbia.edu/content/applying-columbia-physics-graduate-program</t>
        </is>
      </c>
      <c r="G23" s="4" t="inlineStr"/>
      <c r="H23" s="4" t="inlineStr">
        <is>
          <t>2026-10-21</t>
        </is>
      </c>
    </row>
    <row r="24">
      <c r="A24" s="4" t="inlineStr">
        <is>
          <t>Columbia University</t>
        </is>
      </c>
      <c r="B24" s="4" t="inlineStr">
        <is>
          <t>Intl fee waiver</t>
        </is>
      </c>
      <c r="C24" s="4" t="inlineStr">
        <is>
          <t>Available</t>
        </is>
      </c>
      <c r="D24" s="4" t="inlineStr">
        <is>
          <t>GSAS considers waivers for financial need, personal hardship or other onerous circumstances</t>
        </is>
      </c>
      <c r="E24" s="4" t="inlineStr">
        <is>
          <t>The Graduate School will consider a waiver of the application fee for applicants who demonstrate financial need, personal hardship, or other circumstances that make paying the application fee unduly onerous.</t>
        </is>
      </c>
      <c r="F24" s="4" t="inlineStr">
        <is>
          <t>https://www.physics.columbia.edu/content/applying-columbia-physics-graduate-program</t>
        </is>
      </c>
      <c r="G24" s="4" t="inlineStr"/>
      <c r="H24" s="4" t="inlineStr">
        <is>
          <t>2026-10-21</t>
        </is>
      </c>
    </row>
    <row r="25">
      <c r="A25" s="4" t="inlineStr">
        <is>
          <t>Columbia University</t>
        </is>
      </c>
      <c r="B25" s="4" t="inlineStr">
        <is>
          <t>GRE General</t>
        </is>
      </c>
      <c r="C25" s="4" t="inlineStr">
        <is>
          <t>Optional</t>
        </is>
      </c>
      <c r="D25" s="4" t="inlineStr">
        <is>
          <t>Allowed but not required</t>
        </is>
      </c>
      <c r="E25" s="4" t="inlineStr">
        <is>
          <t>Submission of GRE scores is allowed but not required; the choice is yours.</t>
        </is>
      </c>
      <c r="F25" s="4" t="inlineStr">
        <is>
          <t>https://www.gsas.columbia.edu/content/physics</t>
        </is>
      </c>
      <c r="G25" s="4" t="inlineStr"/>
      <c r="H25" s="4" t="inlineStr">
        <is>
          <t>2026-10-21</t>
        </is>
      </c>
    </row>
    <row r="26">
      <c r="A26" s="4" t="inlineStr">
        <is>
          <t>Columbia University</t>
        </is>
      </c>
      <c r="B26" s="4" t="inlineStr">
        <is>
          <t>Physics GRE</t>
        </is>
      </c>
      <c r="C26" s="4" t="inlineStr">
        <is>
          <t>Optional</t>
        </is>
      </c>
      <c r="D26" s="4" t="inlineStr">
        <is>
          <t>Full consideration with or without the Physics GRE; no preselection on scores</t>
        </is>
      </c>
      <c r="E26" s="4" t="inlineStr">
        <is>
          <t>we will give full consideration to all applications, with or without Physics GRE scores; in particular there will be no preselection based on GRE scores prior to the holistic review</t>
        </is>
      </c>
      <c r="F26" s="4" t="inlineStr">
        <is>
          <t>https://www.gsas.columbia.edu/content/physics</t>
        </is>
      </c>
      <c r="G26" s="4" t="inlineStr"/>
      <c r="H26" s="4" t="inlineStr">
        <is>
          <t>2026-10-21</t>
        </is>
      </c>
    </row>
    <row r="27">
      <c r="A27" s="4" t="inlineStr">
        <is>
          <t>Columbia University</t>
        </is>
      </c>
      <c r="B27" s="4" t="inlineStr">
        <is>
          <t>TOEFL minimum</t>
        </is>
      </c>
      <c r="C27" s="4" t="inlineStr">
        <is>
          <t>Not stated</t>
        </is>
      </c>
      <c r="D27" s="4" t="inlineStr">
        <is>
          <t>TOEFL, IELTS or Duolingo accepted; minimum not shown on the pages checked</t>
        </is>
      </c>
      <c r="E27" s="4" t="inlineStr">
        <is>
          <t>This requirement can be fulfilled through the Test of English as a Foreign Language (TOEFL), the International English Language Testing System (IELTS), or the Duolingo English Test (DET).</t>
        </is>
      </c>
      <c r="F27" s="4" t="inlineStr">
        <is>
          <t>https://www.gsas.columbia.edu/content/physics</t>
        </is>
      </c>
      <c r="G27" s="4" t="inlineStr"/>
      <c r="H27" s="4" t="inlineStr">
        <is>
          <t>2026-10-21</t>
        </is>
      </c>
    </row>
    <row r="28">
      <c r="A28" s="4" t="inlineStr">
        <is>
          <t>Columbia University</t>
        </is>
      </c>
      <c r="B28" s="4" t="inlineStr">
        <is>
          <t>English-test waiver (English-medium degree)</t>
        </is>
      </c>
      <c r="C28" s="4" t="inlineStr">
        <is>
          <t>Conditional</t>
        </is>
      </c>
      <c r="D28" s="4" t="inlineStr">
        <is>
          <t>Rule is based on the official language of your degree institution's country; English is an official language in India, so ask GSAS how this applies to you</t>
        </is>
      </c>
      <c r="E28" s="4" t="inlineStr">
        <is>
          <t>All applicants whose undergraduate degree is from an institution in a country whose official language is not English must submit English proficiency exam scores.</t>
        </is>
      </c>
      <c r="F28" s="4" t="inlineStr">
        <is>
          <t>https://www.gsas.columbia.edu/content/physics</t>
        </is>
      </c>
      <c r="G28" s="4" t="inlineStr"/>
      <c r="H28" s="4" t="inlineStr">
        <is>
          <t>2026-10-21</t>
        </is>
      </c>
    </row>
    <row r="29">
      <c r="A29" s="4" t="inlineStr">
        <is>
          <t>Columbia University</t>
        </is>
      </c>
      <c r="B29" s="4" t="inlineStr">
        <is>
          <t>Supervisor before admission</t>
        </is>
      </c>
      <c r="C29" s="4" t="inlineStr">
        <is>
          <t>Not stated</t>
        </is>
      </c>
      <c r="D29" s="4" t="inlineStr">
        <is>
          <t>No pre-application supervisor requirement mentioned</t>
        </is>
      </c>
      <c r="E29" s="4" t="inlineStr">
        <is>
          <t>(no statement found)</t>
        </is>
      </c>
      <c r="F29" s="4" t="inlineStr">
        <is>
          <t>https://www.physics.columbia.edu/content/applying-columbia-physics-graduate-program</t>
        </is>
      </c>
      <c r="G29" s="4" t="inlineStr"/>
      <c r="H29" s="4" t="inlineStr">
        <is>
          <t>2026-10-21</t>
        </is>
      </c>
    </row>
    <row r="30">
      <c r="A30" s="4" t="inlineStr">
        <is>
          <t>Columbia University</t>
        </is>
      </c>
      <c r="B30" s="4" t="inlineStr">
        <is>
          <t>PhD funding</t>
        </is>
      </c>
      <c r="C30" s="4" t="inlineStr">
        <is>
          <t>Guaranteed</t>
        </is>
      </c>
      <c r="D30" s="4" t="inlineStr">
        <is>
          <t>Prevailing stipend plus tuition and fees for six years in good standing</t>
        </is>
      </c>
      <c r="E30" s="4" t="inlineStr">
        <is>
          <t>Doctoral students normally receive the annual prevailing stipend (or salary, in the case of student officers) and appropriate tuition, health fees, University service and support fees, and if applicable, international fees, for six years</t>
        </is>
      </c>
      <c r="F30" s="4" t="inlineStr">
        <is>
          <t>https://www.physics.columbia.edu/content/applying-columbia-physics-graduate-program</t>
        </is>
      </c>
      <c r="G30" s="4" t="inlineStr"/>
      <c r="H30" s="4" t="inlineStr">
        <is>
          <t>2026-10-21</t>
        </is>
      </c>
    </row>
    <row r="31">
      <c r="A31" s="4" t="inlineStr">
        <is>
          <t>Columbia University</t>
        </is>
      </c>
      <c r="B31" s="4" t="inlineStr">
        <is>
          <t>Entry route</t>
        </is>
      </c>
      <c r="C31" s="4" t="inlineStr">
        <is>
          <t>Not stated</t>
        </is>
      </c>
      <c r="D31" s="4" t="inlineStr">
        <is>
          <t>Not stated on the pages checked</t>
        </is>
      </c>
      <c r="E31" s="4" t="inlineStr">
        <is>
          <t>(no statement found)</t>
        </is>
      </c>
      <c r="F31" s="4" t="inlineStr">
        <is>
          <t>https://www.physics.columbia.edu/content/applying-columbia-physics-graduate-program</t>
        </is>
      </c>
      <c r="G31" s="4" t="inlineStr"/>
      <c r="H31" s="4" t="inlineStr">
        <is>
          <t>2026-10-21</t>
        </is>
      </c>
    </row>
    <row r="32">
      <c r="A32" s="4" t="inlineStr">
        <is>
          <t>Cornell University</t>
        </is>
      </c>
      <c r="B32" s="4" t="inlineStr">
        <is>
          <t>Deadline (Fall 2027)</t>
        </is>
      </c>
      <c r="C32" s="4" t="inlineStr">
        <is>
          <t>2026-12-15</t>
        </is>
      </c>
      <c r="D32" s="4" t="inlineStr">
        <is>
          <t>December 15: all materials incl. test scores must be received. Year inferred.</t>
        </is>
      </c>
      <c r="E32" s="4" t="inlineStr">
        <is>
          <t>All required application materials and supporting documents must be submitted online and received by Cornell no later than December 15.</t>
        </is>
      </c>
      <c r="F32" s="4" t="inlineStr">
        <is>
          <t>https://physics.cornell.edu/prospective-graduate-students</t>
        </is>
      </c>
      <c r="G32" s="4" t="inlineStr">
        <is>
          <t>year inferred</t>
        </is>
      </c>
      <c r="H32" s="4" t="inlineStr">
        <is>
          <t>2026-10-21</t>
        </is>
      </c>
    </row>
    <row r="33">
      <c r="A33" s="4" t="inlineStr">
        <is>
          <t>Cornell University</t>
        </is>
      </c>
      <c r="B33" s="4" t="inlineStr">
        <is>
          <t>Application fee</t>
        </is>
      </c>
      <c r="C33" s="4" t="inlineStr">
        <is>
          <t>105 USD</t>
        </is>
      </c>
      <c r="D33" s="4" t="inlineStr">
        <is>
          <t>USD 105</t>
        </is>
      </c>
      <c r="E33" s="4" t="inlineStr">
        <is>
          <t>The application fee is $105.</t>
        </is>
      </c>
      <c r="F33" s="4" t="inlineStr">
        <is>
          <t>https://physics.cornell.edu/prospective-graduate-students</t>
        </is>
      </c>
      <c r="G33" s="4" t="inlineStr"/>
      <c r="H33" s="4" t="inlineStr">
        <is>
          <t>2026-10-21</t>
        </is>
      </c>
    </row>
    <row r="34">
      <c r="A34" s="4" t="inlineStr">
        <is>
          <t>Cornell University</t>
        </is>
      </c>
      <c r="B34" s="4" t="inlineStr">
        <is>
          <t>Intl fee waiver</t>
        </is>
      </c>
      <c r="C34" s="4" t="inlineStr">
        <is>
          <t>Available</t>
        </is>
      </c>
      <c r="D34" s="4" t="inlineStr">
        <is>
          <t>Can be requested for financial hardship or extenuating circumstances (Graduate School criteria)</t>
        </is>
      </c>
      <c r="E34" s="4" t="inlineStr">
        <is>
          <t>An application fee waiver can be requested in the event of financial hardship or extenuating circumstances.</t>
        </is>
      </c>
      <c r="F34" s="4" t="inlineStr">
        <is>
          <t>https://physics.cornell.edu/prospective-graduate-students</t>
        </is>
      </c>
      <c r="G34" s="4" t="inlineStr"/>
      <c r="H34" s="4" t="inlineStr">
        <is>
          <t>2026-10-21</t>
        </is>
      </c>
    </row>
    <row r="35">
      <c r="A35" s="4" t="inlineStr">
        <is>
          <t>Cornell University</t>
        </is>
      </c>
      <c r="B35" s="4" t="inlineStr">
        <is>
          <t>GRE General</t>
        </is>
      </c>
      <c r="C35" s="4" t="inlineStr">
        <is>
          <t>Not stated</t>
        </is>
      </c>
      <c r="D35" s="4" t="inlineStr">
        <is>
          <t>Only the Physics GRE policy is stated</t>
        </is>
      </c>
      <c r="E35" s="4" t="inlineStr">
        <is>
          <t>(no statement found)</t>
        </is>
      </c>
      <c r="F35" s="4" t="inlineStr">
        <is>
          <t>https://physics.cornell.edu/prospective-graduate-students</t>
        </is>
      </c>
      <c r="G35" s="4" t="inlineStr"/>
      <c r="H35" s="4" t="inlineStr">
        <is>
          <t>2026-10-21</t>
        </is>
      </c>
    </row>
    <row r="36">
      <c r="A36" s="4" t="inlineStr">
        <is>
          <t>Cornell University</t>
        </is>
      </c>
      <c r="B36" s="4" t="inlineStr">
        <is>
          <t>Physics GRE</t>
        </is>
      </c>
      <c r="C36" s="4" t="inlineStr">
        <is>
          <t>Required</t>
        </is>
      </c>
      <c r="D36" s="4" t="inlineStr">
        <is>
          <t>REQUIRED for theory applicants (theoretical astro, particle, condensed matter); theory applications without it cannot be considered</t>
        </is>
      </c>
      <c r="E36" s="4" t="inlineStr">
        <is>
          <t>The physics GRE is required for applicants with interests in theoretical physics, which includes theoretical astrophysics, theoretical elementary particle physics, and theoretical condensed matter physics. Theory applications without a physics GRE score cannot be considered for admission.</t>
        </is>
      </c>
      <c r="F36" s="4" t="inlineStr">
        <is>
          <t>https://physics.cornell.edu/prospective-graduate-students</t>
        </is>
      </c>
      <c r="G36" s="4" t="inlineStr">
        <is>
          <t>theory applicants</t>
        </is>
      </c>
      <c r="H36" s="4" t="inlineStr">
        <is>
          <t>2026-10-21</t>
        </is>
      </c>
    </row>
    <row r="37">
      <c r="A37" s="4" t="inlineStr">
        <is>
          <t>Cornell University</t>
        </is>
      </c>
      <c r="B37" s="4" t="inlineStr">
        <is>
          <t>TOEFL minimum</t>
        </is>
      </c>
      <c r="C37" s="4" t="inlineStr">
        <is>
          <t>Sections</t>
        </is>
      </c>
      <c r="D37" s="4" t="inlineStr">
        <is>
          <t>No overall minimum stated; section minimums Speaking 23, Reading 20, Listening 15, Writing 20 (pre-2026) or 4.5/4/3.5/4 (new scale)</t>
        </is>
      </c>
      <c r="E37" s="4" t="inlineStr">
        <is>
          <t>The minimum TOEFL iBT score requirements for exams taken before January 2026 are: Speaking: 23, Reading: 20, Listening: 15, Writing: 20.</t>
        </is>
      </c>
      <c r="F37" s="4" t="inlineStr">
        <is>
          <t>https://physics.cornell.edu/prospective-graduate-students</t>
        </is>
      </c>
      <c r="G37" s="4" t="inlineStr"/>
      <c r="H37" s="4" t="inlineStr">
        <is>
          <t>2026-10-21</t>
        </is>
      </c>
    </row>
    <row r="38">
      <c r="A38" s="4" t="inlineStr">
        <is>
          <t>Cornell University</t>
        </is>
      </c>
      <c r="B38" s="4" t="inlineStr">
        <is>
          <t>English-test waiver (English-medium degree)</t>
        </is>
      </c>
      <c r="C38" s="4" t="inlineStr">
        <is>
          <t>Not stated</t>
        </is>
      </c>
      <c r="D38" s="4" t="inlineStr">
        <is>
          <t>Standing exemptions on the Graduate School site (not checked)</t>
        </is>
      </c>
      <c r="E38" s="4" t="inlineStr">
        <is>
          <t>Applicants may be exempt from submitting TOEFL/IELTS scores if they meet one of the following standing exemptions outlined here.</t>
        </is>
      </c>
      <c r="F38" s="4" t="inlineStr">
        <is>
          <t>https://physics.cornell.edu/prospective-graduate-students</t>
        </is>
      </c>
      <c r="G38" s="4" t="inlineStr"/>
      <c r="H38" s="4" t="inlineStr">
        <is>
          <t>2026-10-21</t>
        </is>
      </c>
    </row>
    <row r="39">
      <c r="A39" s="4" t="inlineStr">
        <is>
          <t>Cornell University</t>
        </is>
      </c>
      <c r="B39" s="4" t="inlineStr">
        <is>
          <t>Supervisor before admission</t>
        </is>
      </c>
      <c r="C39" s="4" t="inlineStr">
        <is>
          <t>Not stated</t>
        </is>
      </c>
      <c r="D39" s="4" t="inlineStr">
        <is>
          <t>No pre-application supervisor requirement mentioned</t>
        </is>
      </c>
      <c r="E39" s="4" t="inlineStr">
        <is>
          <t>(no statement found)</t>
        </is>
      </c>
      <c r="F39" s="4" t="inlineStr">
        <is>
          <t>https://physics.cornell.edu/prospective-graduate-students</t>
        </is>
      </c>
      <c r="G39" s="4" t="inlineStr"/>
      <c r="H39" s="4" t="inlineStr">
        <is>
          <t>2026-10-21</t>
        </is>
      </c>
    </row>
    <row r="40">
      <c r="A40" s="4" t="inlineStr">
        <is>
          <t>Cornell University</t>
        </is>
      </c>
      <c r="B40" s="4" t="inlineStr">
        <is>
          <t>PhD funding</t>
        </is>
      </c>
      <c r="C40" s="4" t="inlineStr">
        <is>
          <t>Guaranteed</t>
        </is>
      </c>
      <c r="D40" s="4" t="inlineStr">
        <is>
          <t>6 years of full support in good standing (fellowships, TA, RA)</t>
        </is>
      </c>
      <c r="E40" s="4" t="inlineStr">
        <is>
          <t>We provide 6 years of full financial support for all graduate students in good academic standing.</t>
        </is>
      </c>
      <c r="F40" s="4" t="inlineStr">
        <is>
          <t>https://physics.cornell.edu/prospective-graduate-students</t>
        </is>
      </c>
      <c r="G40" s="4" t="inlineStr"/>
      <c r="H40" s="4" t="inlineStr">
        <is>
          <t>2026-10-21</t>
        </is>
      </c>
    </row>
    <row r="41">
      <c r="A41" s="4" t="inlineStr">
        <is>
          <t>Cornell University</t>
        </is>
      </c>
      <c r="B41" s="4" t="inlineStr">
        <is>
          <t>Entry route</t>
        </is>
      </c>
      <c r="C41" s="4" t="inlineStr">
        <is>
          <t>Direct from bachelor's</t>
        </is>
      </c>
      <c r="D41" s="4" t="inlineStr">
        <is>
          <t>Bachelor's (or equivalent international degree) required; terminal master's applicants fully considered</t>
        </is>
      </c>
      <c r="E41" s="4" t="inlineStr">
        <is>
          <t>A Bachelor's degree is required at the time of matriculation. | Applicants who have completed or are finishing a terminal Master's degree program will be given full consideration.</t>
        </is>
      </c>
      <c r="F41" s="4" t="inlineStr">
        <is>
          <t>https://physics.cornell.edu/prospective-graduate-students</t>
        </is>
      </c>
      <c r="G41" s="4" t="inlineStr"/>
      <c r="H41" s="4" t="inlineStr">
        <is>
          <t>2026-10-21</t>
        </is>
      </c>
    </row>
    <row r="42">
      <c r="A42" s="4" t="inlineStr">
        <is>
          <t>Georgia Institute of Technology</t>
        </is>
      </c>
      <c r="B42" s="4" t="inlineStr">
        <is>
          <t>Deadline (Fall 2027)</t>
        </is>
      </c>
      <c r="C42" s="4" t="inlineStr">
        <is>
          <t>2026-12-15</t>
        </is>
      </c>
      <c r="D42" s="4" t="inlineStr">
        <is>
          <t>December 15. Year inferred for Fall 2027.</t>
        </is>
      </c>
      <c r="E42" s="4" t="inlineStr">
        <is>
          <t>The application deadline is December 15th.</t>
        </is>
      </c>
      <c r="F42" s="4" t="inlineStr">
        <is>
          <t>https://physics.gatech.edu/academics/graduate/admissions-info</t>
        </is>
      </c>
      <c r="G42" s="4" t="inlineStr">
        <is>
          <t>year inferred</t>
        </is>
      </c>
      <c r="H42" s="4" t="inlineStr">
        <is>
          <t>2026-10-21</t>
        </is>
      </c>
    </row>
    <row r="43">
      <c r="A43" s="4" t="inlineStr">
        <is>
          <t>Georgia Institute of Technology</t>
        </is>
      </c>
      <c r="B43" s="4" t="inlineStr">
        <is>
          <t>Application fee</t>
        </is>
      </c>
      <c r="C43" s="4" t="inlineStr">
        <is>
          <t>105 USD</t>
        </is>
      </c>
      <c r="D43" s="4" t="inlineStr">
        <is>
          <t>USD 105 for international applicants (since Aug 1, 2023)</t>
        </is>
      </c>
      <c r="E43" s="4" t="inlineStr">
        <is>
          <t>As of August 1, 2023, the fee for international applicants is $105 per application.</t>
        </is>
      </c>
      <c r="F43" s="4" t="inlineStr">
        <is>
          <t>https://grad.gatech.edu/admissions/international/ready-to-apply</t>
        </is>
      </c>
      <c r="G43" s="4" t="inlineStr"/>
      <c r="H43" s="4" t="inlineStr">
        <is>
          <t>2026-10-21</t>
        </is>
      </c>
    </row>
    <row r="44">
      <c r="A44" s="4" t="inlineStr">
        <is>
          <t>Georgia Institute of Technology</t>
        </is>
      </c>
      <c r="B44" s="4" t="inlineStr">
        <is>
          <t>Intl fee waiver</t>
        </is>
      </c>
      <c r="C44" s="4" t="inlineStr">
        <is>
          <t>Limited</t>
        </is>
      </c>
      <c r="D44" s="4" t="inlineStr">
        <is>
          <t>Institute waivers for outstanding undergraduate achievement or recruitment events; internationals must submit ALL materials (incl. English scores) before requesting</t>
        </is>
      </c>
      <c r="E44" s="4" t="inlineStr">
        <is>
          <t>Georgia Tech provides application fee waivers to recognize outstanding undergraduate achievement and engage prospective students in recruitment events where Georgia Tech is affiliated. | International applicants must submit all required application materials prior to requesting a fee waiver.</t>
        </is>
      </c>
      <c r="F44" s="4" t="inlineStr">
        <is>
          <t>https://grad.gatech.edu/admissions/international/ready-to-apply</t>
        </is>
      </c>
      <c r="G44" s="4" t="inlineStr"/>
      <c r="H44" s="4" t="inlineStr">
        <is>
          <t>2026-10-21</t>
        </is>
      </c>
    </row>
    <row r="45">
      <c r="A45" s="4" t="inlineStr">
        <is>
          <t>Georgia Institute of Technology</t>
        </is>
      </c>
      <c r="B45" s="4" t="inlineStr">
        <is>
          <t>GRE General</t>
        </is>
      </c>
      <c r="C45" s="4" t="inlineStr">
        <is>
          <t>Not required</t>
        </is>
      </c>
      <c r="D45" s="4" t="inlineStr">
        <is>
          <t>General GRE not required</t>
        </is>
      </c>
      <c r="E45" s="4" t="inlineStr">
        <is>
          <t>The General GRE Test is NOT REQUIRED for all applicants.</t>
        </is>
      </c>
      <c r="F45" s="4" t="inlineStr">
        <is>
          <t>https://physics.gatech.edu/academics/graduate/admissions-info</t>
        </is>
      </c>
      <c r="G45" s="4" t="inlineStr"/>
      <c r="H45" s="4" t="inlineStr">
        <is>
          <t>2026-10-21</t>
        </is>
      </c>
    </row>
    <row r="46">
      <c r="A46" s="4" t="inlineStr">
        <is>
          <t>Georgia Institute of Technology</t>
        </is>
      </c>
      <c r="B46" s="4" t="inlineStr">
        <is>
          <t>Physics GRE</t>
        </is>
      </c>
      <c r="C46" s="4" t="inlineStr">
        <is>
          <t>Not required</t>
        </is>
      </c>
      <c r="D46" s="4" t="inlineStr">
        <is>
          <t>Physics GRE not required</t>
        </is>
      </c>
      <c r="E46" s="4" t="inlineStr">
        <is>
          <t>The GRE Physics Test is NOT REQUIRED for all applicants.</t>
        </is>
      </c>
      <c r="F46" s="4" t="inlineStr">
        <is>
          <t>https://physics.gatech.edu/academics/graduate/admissions-info</t>
        </is>
      </c>
      <c r="G46" s="4" t="inlineStr"/>
      <c r="H46" s="4" t="inlineStr">
        <is>
          <t>2026-10-21</t>
        </is>
      </c>
    </row>
    <row r="47">
      <c r="A47" s="4" t="inlineStr">
        <is>
          <t>Georgia Institute of Technology</t>
        </is>
      </c>
      <c r="B47" s="4" t="inlineStr">
        <is>
          <t>TOEFL minimum</t>
        </is>
      </c>
      <c r="C47" s="4" t="inlineStr">
        <is>
          <t>106</t>
        </is>
      </c>
      <c r="D47" s="4" t="inlineStr">
        <is>
          <t>TOEFL 106 (scores direct from ETS); IELTS 7.5 with every band 7+ (among the highest in this list)</t>
        </is>
      </c>
      <c r="E47" s="4" t="inlineStr">
        <is>
          <t>The TOEFL minimum is 106 and official scores must be sent directly from ETS. | The IELTS test minimum is 7.5, and all skills must be greater than or equal to 7.</t>
        </is>
      </c>
      <c r="F47" s="4" t="inlineStr">
        <is>
          <t>https://physics.gatech.edu/academics/graduate/admissions-info</t>
        </is>
      </c>
      <c r="G47" s="4" t="inlineStr"/>
      <c r="H47" s="4" t="inlineStr">
        <is>
          <t>2026-10-21</t>
        </is>
      </c>
    </row>
    <row r="48">
      <c r="A48" s="4" t="inlineStr">
        <is>
          <t>Georgia Institute of Technology</t>
        </is>
      </c>
      <c r="B48" s="4" t="inlineStr">
        <is>
          <t>English-test waiver (English-medium degree)</t>
        </is>
      </c>
      <c r="C48" s="4" t="inlineStr">
        <is>
          <t>No</t>
        </is>
      </c>
      <c r="D48" s="4" t="inlineStr">
        <is>
          <t>All applicants must demonstrate English proficiency at application, regardless of citizenship</t>
        </is>
      </c>
      <c r="E48" s="4" t="inlineStr">
        <is>
          <t>All applicants must demonstrate English proficiency at the time of application, regardless of citizenship status.</t>
        </is>
      </c>
      <c r="F48" s="4" t="inlineStr">
        <is>
          <t>https://physics.gatech.edu/academics/graduate/admissions-info</t>
        </is>
      </c>
      <c r="G48" s="4" t="inlineStr"/>
      <c r="H48" s="4" t="inlineStr">
        <is>
          <t>2026-10-21</t>
        </is>
      </c>
    </row>
    <row r="49">
      <c r="A49" s="4" t="inlineStr">
        <is>
          <t>Georgia Institute of Technology</t>
        </is>
      </c>
      <c r="B49" s="4" t="inlineStr">
        <is>
          <t>Supervisor before admission</t>
        </is>
      </c>
      <c r="C49" s="4" t="inlineStr">
        <is>
          <t>Not stated</t>
        </is>
      </c>
      <c r="D49" s="4" t="inlineStr">
        <is>
          <t>No pre-application supervisor requirement mentioned</t>
        </is>
      </c>
      <c r="E49" s="4" t="inlineStr">
        <is>
          <t>(no statement found)</t>
        </is>
      </c>
      <c r="F49" s="4" t="inlineStr">
        <is>
          <t>https://physics.gatech.edu/academics/graduate/admissions-info</t>
        </is>
      </c>
      <c r="G49" s="4" t="inlineStr"/>
      <c r="H49" s="4" t="inlineStr">
        <is>
          <t>2026-10-21</t>
        </is>
      </c>
    </row>
    <row r="50">
      <c r="A50" s="4" t="inlineStr">
        <is>
          <t>Georgia Institute of Technology</t>
        </is>
      </c>
      <c r="B50" s="4" t="inlineStr">
        <is>
          <t>PhD funding</t>
        </is>
      </c>
      <c r="C50" s="4" t="inlineStr">
        <is>
          <t>Not stated</t>
        </is>
      </c>
      <c r="D50" s="4" t="inlineStr">
        <is>
          <t>PhD support terms not stated (MS students get no support)</t>
        </is>
      </c>
      <c r="E50" s="4" t="inlineStr">
        <is>
          <t>Our MS students are given no financial support and must pay full tuition.</t>
        </is>
      </c>
      <c r="F50" s="4" t="inlineStr">
        <is>
          <t>https://physics.gatech.edu/academics/graduate/admissions-info</t>
        </is>
      </c>
      <c r="G50" s="4" t="inlineStr"/>
      <c r="H50" s="4" t="inlineStr">
        <is>
          <t>2026-10-21</t>
        </is>
      </c>
    </row>
    <row r="51">
      <c r="A51" s="4" t="inlineStr">
        <is>
          <t>Georgia Institute of Technology</t>
        </is>
      </c>
      <c r="B51" s="4" t="inlineStr">
        <is>
          <t>Entry route</t>
        </is>
      </c>
      <c r="C51" s="4" t="inlineStr">
        <is>
          <t>Direct from bachelor's</t>
        </is>
      </c>
      <c r="D51" s="4" t="inlineStr">
        <is>
          <t>Research-track applicants should apply straight to the PhD; a physics BS is not strictly needed if upper-level physics was taken</t>
        </is>
      </c>
      <c r="E51" s="4" t="inlineStr">
        <is>
          <t>If your career plan is to do Research, you should apply directly to the Ph.D. program – not the MS Program.</t>
        </is>
      </c>
      <c r="F51" s="4" t="inlineStr">
        <is>
          <t>https://physics.gatech.edu/academics/graduate/admissions-info</t>
        </is>
      </c>
      <c r="G51" s="4" t="inlineStr"/>
      <c r="H51" s="4" t="inlineStr">
        <is>
          <t>2026-10-21</t>
        </is>
      </c>
    </row>
    <row r="52">
      <c r="A52" s="4" t="inlineStr">
        <is>
          <t>McGill University</t>
        </is>
      </c>
      <c r="B52" s="4" t="inlineStr">
        <is>
          <t>Deadline (Fall 2027)</t>
        </is>
      </c>
      <c r="C52" s="4" t="inlineStr">
        <is>
          <t>2026-12-15</t>
        </is>
      </c>
      <c r="D52" s="4" t="inlineStr">
        <is>
          <t>December 15 for September (Fall) admission, international and domestic. Year inferred for Fall 2027.</t>
        </is>
      </c>
      <c r="E52" s="4" t="inlineStr">
        <is>
          <t>For September admission the deadline is December 15th.</t>
        </is>
      </c>
      <c r="F52" s="4" t="inlineStr">
        <is>
          <t>https://www.physics.mcgill.ca/grads/application.html</t>
        </is>
      </c>
      <c r="G52" s="4" t="inlineStr">
        <is>
          <t>year inferred</t>
        </is>
      </c>
      <c r="H52" s="4" t="inlineStr">
        <is>
          <t>2026-10-21</t>
        </is>
      </c>
    </row>
    <row r="53">
      <c r="A53" s="4" t="inlineStr">
        <is>
          <t>McGill University</t>
        </is>
      </c>
      <c r="B53" s="4" t="inlineStr">
        <is>
          <t>Application fee</t>
        </is>
      </c>
      <c r="C53" s="4" t="inlineStr">
        <is>
          <t>120.99 CAD</t>
        </is>
      </c>
      <c r="D53" s="4" t="inlineStr">
        <is>
          <t>CAD 120.99</t>
        </is>
      </c>
      <c r="E53" s="4" t="inlineStr">
        <is>
          <t>The graduate application fee is $120.99.</t>
        </is>
      </c>
      <c r="F53" s="4" t="inlineStr">
        <is>
          <t>https://www.physics.mcgill.ca/grads/application.html</t>
        </is>
      </c>
      <c r="G53" s="4" t="inlineStr"/>
      <c r="H53" s="4" t="inlineStr">
        <is>
          <t>2026-10-21</t>
        </is>
      </c>
    </row>
    <row r="54">
      <c r="A54" s="4" t="inlineStr">
        <is>
          <t>McGill University</t>
        </is>
      </c>
      <c r="B54" s="4" t="inlineStr">
        <is>
          <t>Intl fee waiver</t>
        </is>
      </c>
      <c r="C54" s="4" t="inlineStr">
        <is>
          <t>Not stated</t>
        </is>
      </c>
      <c r="D54" s="4" t="inlineStr">
        <is>
          <t>No waiver route stated on the pages checked</t>
        </is>
      </c>
      <c r="E54" s="4" t="inlineStr">
        <is>
          <t>(no statement found)</t>
        </is>
      </c>
      <c r="F54" s="4" t="inlineStr">
        <is>
          <t>https://www.physics.mcgill.ca/grads/application.html</t>
        </is>
      </c>
      <c r="G54" s="4" t="inlineStr"/>
      <c r="H54" s="4" t="inlineStr">
        <is>
          <t>2026-10-21</t>
        </is>
      </c>
    </row>
    <row r="55">
      <c r="A55" s="4" t="inlineStr">
        <is>
          <t>McGill University</t>
        </is>
      </c>
      <c r="B55" s="4" t="inlineStr">
        <is>
          <t>GRE General</t>
        </is>
      </c>
      <c r="C55" s="4" t="inlineStr">
        <is>
          <t>Optional</t>
        </is>
      </c>
      <c r="D55" s="4" t="inlineStr">
        <is>
          <t>Not required, but encouraged because many supervisors use it</t>
        </is>
      </c>
      <c r="E55" s="4" t="inlineStr">
        <is>
          <t>GRE is not required. However, applicants are encouraged to take the GRE (General and Subject) and provide the results, as many supervisors make use of this information in selecting students.</t>
        </is>
      </c>
      <c r="F55" s="4" t="inlineStr">
        <is>
          <t>https://www.physics.mcgill.ca/grads/application.html</t>
        </is>
      </c>
      <c r="G55" s="4" t="inlineStr"/>
      <c r="H55" s="4" t="inlineStr">
        <is>
          <t>2026-10-21</t>
        </is>
      </c>
    </row>
    <row r="56">
      <c r="A56" s="4" t="inlineStr">
        <is>
          <t>McGill University</t>
        </is>
      </c>
      <c r="B56" s="4" t="inlineStr">
        <is>
          <t>Physics GRE</t>
        </is>
      </c>
      <c r="C56" s="4" t="inlineStr">
        <is>
          <t>Recommended</t>
        </is>
      </c>
      <c r="D56" s="4" t="inlineStr">
        <is>
          <t>Not required; encouraged (General and Subject); ask your potential supervisor</t>
        </is>
      </c>
      <c r="E56" s="4" t="inlineStr">
        <is>
          <t>GRE is not required. However, applicants are encouraged to take the GRE (General and Subject) and provide the results</t>
        </is>
      </c>
      <c r="F56" s="4" t="inlineStr">
        <is>
          <t>https://www.physics.mcgill.ca/grads/application.html</t>
        </is>
      </c>
      <c r="G56" s="4" t="inlineStr"/>
      <c r="H56" s="4" t="inlineStr">
        <is>
          <t>2026-10-21</t>
        </is>
      </c>
    </row>
    <row r="57">
      <c r="A57" s="4" t="inlineStr">
        <is>
          <t>McGill University</t>
        </is>
      </c>
      <c r="B57" s="4" t="inlineStr">
        <is>
          <t>TOEFL minimum</t>
        </is>
      </c>
      <c r="C57" s="4" t="inlineStr">
        <is>
          <t>86</t>
        </is>
      </c>
      <c r="D57" s="4" t="inlineStr">
        <is>
          <t>TOEFL iBT 86 with no component below 20; IELTS 6.5 overall</t>
        </is>
      </c>
      <c r="E57" s="4" t="inlineStr">
        <is>
          <t>a minimum score of 86 for the internet based test with each component not less than 20. For the IELTS exam, with a minimum overall band score of 6.5 is required.</t>
        </is>
      </c>
      <c r="F57" s="4" t="inlineStr">
        <is>
          <t>https://www.physics.mcgill.ca/grads/application.html</t>
        </is>
      </c>
      <c r="G57" s="4" t="inlineStr"/>
      <c r="H57" s="4" t="inlineStr">
        <is>
          <t>2026-10-21</t>
        </is>
      </c>
    </row>
    <row r="58">
      <c r="A58" s="4" t="inlineStr">
        <is>
          <t>McGill University</t>
        </is>
      </c>
      <c r="B58" s="4" t="inlineStr">
        <is>
          <t>English-test waiver (English-medium degree)</t>
        </is>
      </c>
      <c r="C58" s="4" t="inlineStr">
        <is>
          <t>Yes</t>
        </is>
      </c>
      <c r="D58" s="4" t="inlineStr">
        <is>
          <t>Normally exempt with a degree from a recognized foreign institution where English is the language of instruction; send proof to the department</t>
        </is>
      </c>
      <c r="E58" s="4" t="inlineStr">
        <is>
          <t>Has obtained (or is about to obtain) an undergraduate or graduate degree from a recognized foreign institution where English is the language of instruction | you must send documentation proving you meet one of the conditions directly to your department</t>
        </is>
      </c>
      <c r="F58" s="4" t="inlineStr">
        <is>
          <t>https://www.mcgill.ca/gradapplicants/how-apply/you-apply-mcgill/proficiency</t>
        </is>
      </c>
      <c r="G58" s="4" t="inlineStr"/>
      <c r="H58" s="4" t="inlineStr">
        <is>
          <t>2026-10-21</t>
        </is>
      </c>
    </row>
    <row r="59">
      <c r="A59" s="4" t="inlineStr">
        <is>
          <t>McGill University</t>
        </is>
      </c>
      <c r="B59" s="4" t="inlineStr">
        <is>
          <t>Supervisor before admission</t>
        </is>
      </c>
      <c r="C59" s="4" t="inlineStr">
        <is>
          <t>Recommended</t>
        </is>
      </c>
      <c r="D59" s="4" t="inlineStr">
        <is>
          <t>Not required, but highly recommended: professors select students for their groups</t>
        </is>
      </c>
      <c r="E59" s="4" t="inlineStr">
        <is>
          <t>It's not a requirement to get in touch with potential supervisors ahead of time, but it's highly recommended that you do. In our department, individual professors select students to join their research groups.</t>
        </is>
      </c>
      <c r="F59" s="4" t="inlineStr">
        <is>
          <t>https://www.physics.mcgill.ca/grads/faq.html</t>
        </is>
      </c>
      <c r="G59" s="4" t="inlineStr"/>
      <c r="H59" s="4" t="inlineStr">
        <is>
          <t>2026-10-21</t>
        </is>
      </c>
    </row>
    <row r="60">
      <c r="A60" s="4" t="inlineStr">
        <is>
          <t>McGill University</t>
        </is>
      </c>
      <c r="B60" s="4" t="inlineStr">
        <is>
          <t>PhD funding</t>
        </is>
      </c>
      <c r="C60" s="4" t="inlineStr">
        <is>
          <t>Guaranteed</t>
        </is>
      </c>
      <c r="D60" s="4" t="inlineStr">
        <is>
          <t>All graduate students receive a standard stipend, plus possible TA work</t>
        </is>
      </c>
      <c r="E60" s="4" t="inlineStr">
        <is>
          <t>Our graduate students all receive a standard stipend, and in addition you can be hired as a teaching assistant</t>
        </is>
      </c>
      <c r="F60" s="4" t="inlineStr">
        <is>
          <t>https://www.physics.mcgill.ca/grads/faq.html</t>
        </is>
      </c>
      <c r="G60" s="4" t="inlineStr"/>
      <c r="H60" s="4" t="inlineStr">
        <is>
          <t>2026-10-21</t>
        </is>
      </c>
    </row>
    <row r="61">
      <c r="A61" s="4" t="inlineStr">
        <is>
          <t>McGill University</t>
        </is>
      </c>
      <c r="B61" s="4" t="inlineStr">
        <is>
          <t>Entry route</t>
        </is>
      </c>
      <c r="C61" s="4" t="inlineStr">
        <is>
          <t>Master's usually required</t>
        </is>
      </c>
      <c r="D61" s="4" t="inlineStr">
        <is>
          <t>PhD applicants should be completing or have completed an MSc; BSc holders apply to the MSc</t>
        </is>
      </c>
      <c r="E61" s="4" t="inlineStr">
        <is>
          <t>or have completed an M.Sc. degree can apply to our Ph.D. program. Students who are completing or have completed a B.Sc. degree should apply to our M.Sc. program.</t>
        </is>
      </c>
      <c r="F61" s="4" t="inlineStr">
        <is>
          <t>https://www.physics.mcgill.ca/grads/application.html</t>
        </is>
      </c>
      <c r="G61" s="4" t="inlineStr"/>
      <c r="H61" s="4" t="inlineStr">
        <is>
          <t>2026-10-21</t>
        </is>
      </c>
    </row>
    <row r="62">
      <c r="A62" s="4" t="inlineStr">
        <is>
          <t>McMaster University</t>
        </is>
      </c>
      <c r="B62" s="4" t="inlineStr">
        <is>
          <t>Deadline (Fall 2027)</t>
        </is>
      </c>
      <c r="C62" s="4" t="inlineStr">
        <is>
          <t>2027-02-01</t>
        </is>
      </c>
      <c r="D62" s="4" t="inlineStr">
        <is>
          <t>No formal deadline (rolling, offers while funding lasts); international applicants strongly encouraged to apply by February 1 for internal scholarships. SGS: complete by January 31 for full scholarship consideration; considered until April 30.</t>
        </is>
      </c>
      <c r="E62" s="4" t="inlineStr">
        <is>
          <t>international applicants are strongly encouraged to submit their application materials by February 1st, in order to be considered for internal scholarships.  ||  Applications that are completed by January 31 are given full consideration for scholarships; applications are considered until April 30 (https://gs.mcmaster.ca/program/physics-and-astronomy/)</t>
        </is>
      </c>
      <c r="F62" s="4" t="inlineStr">
        <is>
          <t>https://physics.mcmaster.ca/graduate-studies/how-to-apply/</t>
        </is>
      </c>
      <c r="G62" s="4" t="inlineStr">
        <is>
          <t>year inferred; rolling</t>
        </is>
      </c>
      <c r="H62" s="4" t="inlineStr">
        <is>
          <t>2026-10-21</t>
        </is>
      </c>
    </row>
    <row r="63">
      <c r="A63" s="4" t="inlineStr">
        <is>
          <t>McMaster University</t>
        </is>
      </c>
      <c r="B63" s="4" t="inlineStr">
        <is>
          <t>Application fee</t>
        </is>
      </c>
      <c r="C63" s="4" t="inlineStr">
        <is>
          <t>150 CAD</t>
        </is>
      </c>
      <c r="D63" s="4" t="inlineStr">
        <is>
          <t>CAD 150, non-refundable, by credit or debit card</t>
        </is>
      </c>
      <c r="E63" s="4" t="inlineStr">
        <is>
          <t>Have a valid credit card or debit card ready for the application fee ($150 CAD).</t>
        </is>
      </c>
      <c r="F63" s="4" t="inlineStr">
        <is>
          <t>https://gs.mcmaster.ca/how-to-apply/</t>
        </is>
      </c>
      <c r="G63" s="4" t="inlineStr"/>
      <c r="H63" s="4" t="inlineStr">
        <is>
          <t>2026-10-21</t>
        </is>
      </c>
    </row>
    <row r="64">
      <c r="A64" s="4" t="inlineStr">
        <is>
          <t>McMaster University</t>
        </is>
      </c>
      <c r="B64" s="4" t="inlineStr">
        <is>
          <t>Intl fee waiver</t>
        </is>
      </c>
      <c r="C64" s="4" t="inlineStr">
        <is>
          <t>Not stated</t>
        </is>
      </c>
      <c r="D64" s="4" t="inlineStr">
        <is>
          <t>No waiver route stated on the pages checked</t>
        </is>
      </c>
      <c r="E64" s="4" t="inlineStr">
        <is>
          <t>(no statement found)</t>
        </is>
      </c>
      <c r="F64" s="4" t="inlineStr">
        <is>
          <t>https://gs.mcmaster.ca/how-to-apply/</t>
        </is>
      </c>
      <c r="G64" s="4" t="inlineStr"/>
      <c r="H64" s="4" t="inlineStr">
        <is>
          <t>2026-10-21</t>
        </is>
      </c>
    </row>
    <row r="65">
      <c r="A65" s="4" t="inlineStr">
        <is>
          <t>McMaster University</t>
        </is>
      </c>
      <c r="B65" s="4" t="inlineStr">
        <is>
          <t>GRE General</t>
        </is>
      </c>
      <c r="C65" s="4" t="inlineStr">
        <is>
          <t>Not stated</t>
        </is>
      </c>
      <c r="D65" s="4" t="inlineStr">
        <is>
          <t>No GRE requirement listed on the pages checked</t>
        </is>
      </c>
      <c r="E65" s="4" t="inlineStr">
        <is>
          <t>(no statement found)</t>
        </is>
      </c>
      <c r="F65" s="4" t="inlineStr">
        <is>
          <t>https://physics.mcmaster.ca/graduate-studies/how-to-apply/</t>
        </is>
      </c>
      <c r="G65" s="4" t="inlineStr"/>
      <c r="H65" s="4" t="inlineStr">
        <is>
          <t>2026-10-21</t>
        </is>
      </c>
    </row>
    <row r="66">
      <c r="A66" s="4" t="inlineStr">
        <is>
          <t>McMaster University</t>
        </is>
      </c>
      <c r="B66" s="4" t="inlineStr">
        <is>
          <t>Physics GRE</t>
        </is>
      </c>
      <c r="C66" s="4" t="inlineStr">
        <is>
          <t>Not stated</t>
        </is>
      </c>
      <c r="D66" s="4" t="inlineStr">
        <is>
          <t>No GRE requirement listed on the pages checked</t>
        </is>
      </c>
      <c r="E66" s="4" t="inlineStr">
        <is>
          <t>(no statement found)</t>
        </is>
      </c>
      <c r="F66" s="4" t="inlineStr">
        <is>
          <t>https://physics.mcmaster.ca/graduate-studies/how-to-apply/</t>
        </is>
      </c>
      <c r="G66" s="4" t="inlineStr"/>
      <c r="H66" s="4" t="inlineStr">
        <is>
          <t>2026-10-21</t>
        </is>
      </c>
    </row>
    <row r="67">
      <c r="A67" s="4" t="inlineStr">
        <is>
          <t>McMaster University</t>
        </is>
      </c>
      <c r="B67" s="4" t="inlineStr">
        <is>
          <t>TOEFL minimum</t>
        </is>
      </c>
      <c r="C67" s="4" t="inlineStr">
        <is>
          <t>Not stated</t>
        </is>
      </c>
      <c r="D67" s="4" t="inlineStr">
        <is>
          <t>IELTS/TOEFL uploaded 'if required'; minimum not shown on the pages checked</t>
        </is>
      </c>
      <c r="E67" s="4" t="inlineStr">
        <is>
          <t>IELTS or TOEFL test (if required) (upload)</t>
        </is>
      </c>
      <c r="F67" s="4" t="inlineStr">
        <is>
          <t>https://physics.mcmaster.ca/graduate-studies/how-to-apply/</t>
        </is>
      </c>
      <c r="G67" s="4" t="inlineStr"/>
      <c r="H67" s="4" t="inlineStr">
        <is>
          <t>2026-10-21</t>
        </is>
      </c>
    </row>
    <row r="68">
      <c r="A68" s="4" t="inlineStr">
        <is>
          <t>McMaster University</t>
        </is>
      </c>
      <c r="B68" s="4" t="inlineStr">
        <is>
          <t>English-test waiver (English-medium degree)</t>
        </is>
      </c>
      <c r="C68" s="4" t="inlineStr">
        <is>
          <t>Conditional</t>
        </is>
      </c>
      <c r="D68" s="4" t="inlineStr">
        <is>
          <t>The application asks whether your degree's official language of instruction AND evaluation was English; programs may add their own requirements</t>
        </is>
      </c>
      <c r="E68" s="4" t="inlineStr">
        <is>
          <t>In the application, indicate whether you have completed a degree where the official language of instruction and evaluation is in English by choosing Yes or No.</t>
        </is>
      </c>
      <c r="F68" s="4" t="inlineStr">
        <is>
          <t>https://gs.mcmaster.ca/how-to-apply/</t>
        </is>
      </c>
      <c r="G68" s="4" t="inlineStr"/>
      <c r="H68" s="4" t="inlineStr">
        <is>
          <t>2026-10-21</t>
        </is>
      </c>
    </row>
    <row r="69">
      <c r="A69" s="4" t="inlineStr">
        <is>
          <t>McMaster University</t>
        </is>
      </c>
      <c r="B69" s="4" t="inlineStr">
        <is>
          <t>Supervisor before admission</t>
        </is>
      </c>
      <c r="C69" s="4" t="inlineStr">
        <is>
          <t>Recommended</t>
        </is>
      </c>
      <c r="D69" s="4" t="inlineStr">
        <is>
          <t>Funding includes a research fellowship from the supervisor's grant; contact faculty directly to ask if they are taking students</t>
        </is>
      </c>
      <c r="E69" s="4" t="inlineStr">
        <is>
          <t>For interest in joining a specific research group, contact the faculty member directly and inquire if they are planning on taking on any new students.</t>
        </is>
      </c>
      <c r="F69" s="4" t="inlineStr">
        <is>
          <t>https://physics.mcmaster.ca/graduate-studies/how-to-apply/</t>
        </is>
      </c>
      <c r="G69" s="4" t="inlineStr"/>
      <c r="H69" s="4" t="inlineStr">
        <is>
          <t>2026-10-21</t>
        </is>
      </c>
    </row>
    <row r="70">
      <c r="A70" s="4" t="inlineStr">
        <is>
          <t>McMaster University</t>
        </is>
      </c>
      <c r="B70" s="4" t="inlineStr">
        <is>
          <t>PhD funding</t>
        </is>
      </c>
      <c r="C70" s="4" t="inlineStr">
        <is>
          <t>Guaranteed</t>
        </is>
      </c>
      <c r="D70" s="4" t="inlineStr">
        <is>
          <t>Full support guaranteed for all admitted students (scholarship + supervisor research scholarship + TA); minimum at least CAD 21,000 after tuition and fees</t>
        </is>
      </c>
      <c r="E70" s="4" t="inlineStr">
        <is>
          <t>While full financial support is guaranteed for all admitted graduate students | The minimum guaranteed funding level after paying tuition and fees is at least $21, 000.</t>
        </is>
      </c>
      <c r="F70" s="4" t="inlineStr">
        <is>
          <t>https://physics.mcmaster.ca/graduate-studies/how-to-apply/</t>
        </is>
      </c>
      <c r="G70" s="4" t="inlineStr"/>
      <c r="H70" s="4" t="inlineStr">
        <is>
          <t>2026-10-21</t>
        </is>
      </c>
    </row>
    <row r="71">
      <c r="A71" s="4" t="inlineStr">
        <is>
          <t>McMaster University</t>
        </is>
      </c>
      <c r="B71" s="4" t="inlineStr">
        <is>
          <t>Entry route</t>
        </is>
      </c>
      <c r="C71" s="4" t="inlineStr">
        <is>
          <t>Not stated</t>
        </is>
      </c>
      <c r="D71" s="4" t="inlineStr">
        <is>
          <t>MSc entry from an Honours BSc (B+ final year) is described; PhD entry rules for master's-equivalent degrees not stated on the pages checked</t>
        </is>
      </c>
      <c r="E71" s="4" t="inlineStr">
        <is>
          <t>The minimum requirement for admission to the M.Sc. programmes is an Honours B.Sc. degree in Physics or Engineering Physics with at least a B+ average in the final year</t>
        </is>
      </c>
      <c r="F71" s="4" t="inlineStr">
        <is>
          <t>https://physics.mcmaster.ca/graduate-studies/how-to-apply/</t>
        </is>
      </c>
      <c r="G71" s="4" t="inlineStr"/>
      <c r="H71" s="4" t="inlineStr">
        <is>
          <t>2026-10-21</t>
        </is>
      </c>
    </row>
    <row r="72">
      <c r="A72" s="4" t="inlineStr">
        <is>
          <t>Penn State University (University Park)</t>
        </is>
      </c>
      <c r="B72" s="4" t="inlineStr">
        <is>
          <t>Deadline (Fall 2027)</t>
        </is>
      </c>
      <c r="C72" s="4" t="inlineStr">
        <is>
          <t>2027-01-15</t>
        </is>
      </c>
      <c r="D72" s="4" t="inlineStr">
        <is>
          <t>January 15 (applications for Fall 2027 open October 1, 2026). Year inferred.</t>
        </is>
      </c>
      <c r="E72" s="4" t="inlineStr">
        <is>
          <t>The application is due on Jan 15 for the incoming class of the year. | We will begin accepting applications for the Fall 2027 academic year starting on October 1, 2026.</t>
        </is>
      </c>
      <c r="F72" s="4" t="inlineStr">
        <is>
          <t>https://science.psu.edu/physics/graduate/applying</t>
        </is>
      </c>
      <c r="G72" s="4" t="inlineStr">
        <is>
          <t>year inferred</t>
        </is>
      </c>
      <c r="H72" s="4" t="inlineStr">
        <is>
          <t>2026-10-21</t>
        </is>
      </c>
    </row>
    <row r="73">
      <c r="A73" s="4" t="inlineStr">
        <is>
          <t>Penn State University (University Park)</t>
        </is>
      </c>
      <c r="B73" s="4" t="inlineStr">
        <is>
          <t>Application fee</t>
        </is>
      </c>
      <c r="C73" s="4" t="inlineStr">
        <is>
          <t>0 (waived)</t>
        </is>
      </c>
      <c r="D73" s="4" t="inlineStr">
        <is>
          <t>Fee waived for ALL applicants this year: enter code PHYS2027</t>
        </is>
      </c>
      <c r="E73" s="4" t="inlineStr">
        <is>
          <t>To ensure access to all qualified applicants, the Physics PhD program is waiving the fee for ALL applicants this year. There is no cost to apply. Please enter the waiver code PHYS2027 in your application.</t>
        </is>
      </c>
      <c r="F73" s="4" t="inlineStr">
        <is>
          <t>https://science.psu.edu/physics/graduate/applying</t>
        </is>
      </c>
      <c r="G73" s="4" t="inlineStr"/>
      <c r="H73" s="4" t="inlineStr">
        <is>
          <t>2026-10-21</t>
        </is>
      </c>
    </row>
    <row r="74">
      <c r="A74" s="4" t="inlineStr">
        <is>
          <t>Penn State University (University Park)</t>
        </is>
      </c>
      <c r="B74" s="4" t="inlineStr">
        <is>
          <t>Intl fee waiver</t>
        </is>
      </c>
      <c r="C74" s="4" t="inlineStr">
        <is>
          <t>Available</t>
        </is>
      </c>
      <c r="D74" s="4" t="inlineStr">
        <is>
          <t>Automatic for everyone this cycle via code PHYS2027 (international included)</t>
        </is>
      </c>
      <c r="E74" s="4" t="inlineStr">
        <is>
          <t>the Physics PhD program is waiving the fee for ALL applicants this year.</t>
        </is>
      </c>
      <c r="F74" s="4" t="inlineStr">
        <is>
          <t>https://science.psu.edu/physics/graduate/applying</t>
        </is>
      </c>
      <c r="G74" s="4" t="inlineStr"/>
      <c r="H74" s="4" t="inlineStr">
        <is>
          <t>2026-10-21</t>
        </is>
      </c>
    </row>
    <row r="75">
      <c r="A75" s="4" t="inlineStr">
        <is>
          <t>Penn State University (University Park)</t>
        </is>
      </c>
      <c r="B75" s="4" t="inlineStr">
        <is>
          <t>GRE General</t>
        </is>
      </c>
      <c r="C75" s="4" t="inlineStr">
        <is>
          <t>Not stated</t>
        </is>
      </c>
      <c r="D75" s="4" t="inlineStr">
        <is>
          <t>No GRE requirement listed on the current page</t>
        </is>
      </c>
      <c r="E75" s="4" t="inlineStr">
        <is>
          <t>(no statement found)</t>
        </is>
      </c>
      <c r="F75" s="4" t="inlineStr">
        <is>
          <t>https://science.psu.edu/physics/graduate/applying</t>
        </is>
      </c>
      <c r="G75" s="4" t="inlineStr"/>
      <c r="H75" s="4" t="inlineStr">
        <is>
          <t>2026-10-21</t>
        </is>
      </c>
    </row>
    <row r="76">
      <c r="A76" s="4" t="inlineStr">
        <is>
          <t>Penn State University (University Park)</t>
        </is>
      </c>
      <c r="B76" s="4" t="inlineStr">
        <is>
          <t>Physics GRE</t>
        </is>
      </c>
      <c r="C76" s="4" t="inlineStr">
        <is>
          <t>Not stated</t>
        </is>
      </c>
      <c r="D76" s="4" t="inlineStr">
        <is>
          <t>No GRE requirement listed on the current page</t>
        </is>
      </c>
      <c r="E76" s="4" t="inlineStr">
        <is>
          <t>(no statement found)</t>
        </is>
      </c>
      <c r="F76" s="4" t="inlineStr">
        <is>
          <t>https://science.psu.edu/physics/graduate/applying</t>
        </is>
      </c>
      <c r="G76" s="4" t="inlineStr"/>
      <c r="H76" s="4" t="inlineStr">
        <is>
          <t>2026-10-21</t>
        </is>
      </c>
    </row>
    <row r="77">
      <c r="A77" s="4" t="inlineStr">
        <is>
          <t>Penn State University (University Park)</t>
        </is>
      </c>
      <c r="B77" s="4" t="inlineStr">
        <is>
          <t>TOEFL minimum</t>
        </is>
      </c>
      <c r="C77" s="4" t="inlineStr">
        <is>
          <t>Not stated</t>
        </is>
      </c>
      <c r="D77" s="4" t="inlineStr">
        <is>
          <t>TOEFL/IELTS required from non-English-speaking countries (TOEFL code 2660); minimum not shown</t>
        </is>
      </c>
      <c r="E77" s="4" t="inlineStr">
        <is>
          <t>To submit your scores, please use the institution code 2660 for the TOEFL and search Penn State Graduate School for IELTS.</t>
        </is>
      </c>
      <c r="F77" s="4" t="inlineStr">
        <is>
          <t>https://science.psu.edu/physics/graduate/applying</t>
        </is>
      </c>
      <c r="G77" s="4" t="inlineStr"/>
      <c r="H77" s="4" t="inlineStr">
        <is>
          <t>2026-10-21</t>
        </is>
      </c>
    </row>
    <row r="78">
      <c r="A78" s="4" t="inlineStr">
        <is>
          <t>Penn State University (University Park)</t>
        </is>
      </c>
      <c r="B78" s="4" t="inlineStr">
        <is>
          <t>English-test waiver (English-medium degree)</t>
        </is>
      </c>
      <c r="C78" s="4" t="inlineStr">
        <is>
          <t>Not stated</t>
        </is>
      </c>
      <c r="D78" s="4" t="inlineStr">
        <is>
          <t>Rule is country-based ('non-English speaking countries'); exemption list not shown on the page checked</t>
        </is>
      </c>
      <c r="E78" s="4" t="inlineStr">
        <is>
          <t>International applicants from non-English speaking countries are required to submit results of the Test of English as a Foreign Language (TOEFL), or the International English Language Testing System (IELTS) electronically to Penn State.</t>
        </is>
      </c>
      <c r="F78" s="4" t="inlineStr">
        <is>
          <t>https://science.psu.edu/physics/graduate/applying</t>
        </is>
      </c>
      <c r="G78" s="4" t="inlineStr"/>
      <c r="H78" s="4" t="inlineStr">
        <is>
          <t>2026-10-21</t>
        </is>
      </c>
    </row>
    <row r="79">
      <c r="A79" s="4" t="inlineStr">
        <is>
          <t>Penn State University (University Park)</t>
        </is>
      </c>
      <c r="B79" s="4" t="inlineStr">
        <is>
          <t>Supervisor before admission</t>
        </is>
      </c>
      <c r="C79" s="4" t="inlineStr">
        <is>
          <t>Not stated</t>
        </is>
      </c>
      <c r="D79" s="4" t="inlineStr">
        <is>
          <t>No pre-application supervisor requirement mentioned</t>
        </is>
      </c>
      <c r="E79" s="4" t="inlineStr">
        <is>
          <t>(no statement found)</t>
        </is>
      </c>
      <c r="F79" s="4" t="inlineStr">
        <is>
          <t>https://science.psu.edu/physics/graduate/applying</t>
        </is>
      </c>
      <c r="G79" s="4" t="inlineStr"/>
      <c r="H79" s="4" t="inlineStr">
        <is>
          <t>2026-10-21</t>
        </is>
      </c>
    </row>
    <row r="80">
      <c r="A80" s="4" t="inlineStr">
        <is>
          <t>Penn State University (University Park)</t>
        </is>
      </c>
      <c r="B80" s="4" t="inlineStr">
        <is>
          <t>PhD funding</t>
        </is>
      </c>
      <c r="C80" s="4" t="inlineStr">
        <is>
          <t>Not stated</t>
        </is>
      </c>
      <c r="D80" s="4" t="inlineStr">
        <is>
          <t>Not stated on the page checked</t>
        </is>
      </c>
      <c r="E80" s="4" t="inlineStr">
        <is>
          <t>(no statement found)</t>
        </is>
      </c>
      <c r="F80" s="4" t="inlineStr">
        <is>
          <t>https://science.psu.edu/physics/graduate/applying</t>
        </is>
      </c>
      <c r="G80" s="4" t="inlineStr"/>
      <c r="H80" s="4" t="inlineStr">
        <is>
          <t>2026-10-21</t>
        </is>
      </c>
    </row>
    <row r="81">
      <c r="A81" s="4" t="inlineStr">
        <is>
          <t>Penn State University (University Park)</t>
        </is>
      </c>
      <c r="B81" s="4" t="inlineStr">
        <is>
          <t>Entry route</t>
        </is>
      </c>
      <c r="C81" s="4" t="inlineStr">
        <is>
          <t>Not stated</t>
        </is>
      </c>
      <c r="D81" s="4" t="inlineStr">
        <is>
          <t>Not stated on the page checked</t>
        </is>
      </c>
      <c r="E81" s="4" t="inlineStr">
        <is>
          <t>(no statement found)</t>
        </is>
      </c>
      <c r="F81" s="4" t="inlineStr">
        <is>
          <t>https://science.psu.edu/physics/graduate/applying</t>
        </is>
      </c>
      <c r="G81" s="4" t="inlineStr"/>
      <c r="H81" s="4" t="inlineStr">
        <is>
          <t>2026-10-21</t>
        </is>
      </c>
    </row>
    <row r="82">
      <c r="A82" s="4" t="inlineStr">
        <is>
          <t>Purdue University (West Lafayette)</t>
        </is>
      </c>
      <c r="B82" s="4" t="inlineStr">
        <is>
          <t>Deadline (Fall 2027)</t>
        </is>
      </c>
      <c r="C82" s="4" t="inlineStr">
        <is>
          <t>2026-12-15</t>
        </is>
      </c>
      <c r="D82" s="4" t="inlineStr">
        <is>
          <t>December 15 for fall, including TOEFL/IELTS scores. Year inferred for Fall 2027.</t>
        </is>
      </c>
      <c r="E82" s="4" t="inlineStr">
        <is>
          <t>The deadline for all application materials for fall admission is December 15th. This includes all supporting materials such as the scores of TOEFL and IELTS.</t>
        </is>
      </c>
      <c r="F82" s="4" t="inlineStr">
        <is>
          <t>https://www.physics.purdue.edu/academic-programs/future_students/admissions.html</t>
        </is>
      </c>
      <c r="G82" s="4" t="inlineStr">
        <is>
          <t>year inferred</t>
        </is>
      </c>
      <c r="H82" s="4" t="inlineStr">
        <is>
          <t>2026-10-21</t>
        </is>
      </c>
    </row>
    <row r="83">
      <c r="A83" s="4" t="inlineStr">
        <is>
          <t>Purdue University (West Lafayette)</t>
        </is>
      </c>
      <c r="B83" s="4" t="inlineStr">
        <is>
          <t>Application fee</t>
        </is>
      </c>
      <c r="C83" s="4" t="inlineStr">
        <is>
          <t>75 USD</t>
        </is>
      </c>
      <c r="D83" s="4" t="inlineStr">
        <is>
          <t>USD 75 international (USD 60 domestic); covers up to two program selections</t>
        </is>
      </c>
      <c r="E83" s="4" t="inlineStr">
        <is>
          <t>The graduate application fee is $60 (U.S. dollars) for domestic applicants and $75 (U.S. dollars) for international applicants.</t>
        </is>
      </c>
      <c r="F83" s="4" t="inlineStr">
        <is>
          <t>https://www.purdue.edu/academics/ogsps/admissions/how-to-apply/</t>
        </is>
      </c>
      <c r="G83" s="4" t="inlineStr"/>
      <c r="H83" s="4" t="inlineStr">
        <is>
          <t>2026-10-21</t>
        </is>
      </c>
    </row>
    <row r="84">
      <c r="A84" s="4" t="inlineStr">
        <is>
          <t>Purdue University (West Lafayette)</t>
        </is>
      </c>
      <c r="B84" s="4" t="inlineStr">
        <is>
          <t>Intl fee waiver</t>
        </is>
      </c>
      <c r="C84" s="4" t="inlineStr">
        <is>
          <t>Limited</t>
        </is>
      </c>
      <c r="D84" s="4" t="inlineStr">
        <is>
          <t>Fee-waiver applications exist through Big Ten and Purdue; check eligibility for international applicants</t>
        </is>
      </c>
      <c r="E84" s="4" t="inlineStr">
        <is>
          <t>An application fee waiver may apply. Both Big Ten and Purdue offer applications for fee waivers.</t>
        </is>
      </c>
      <c r="F84" s="4" t="inlineStr">
        <is>
          <t>https://www.physics.purdue.edu/academic-programs/future_students/admissions.html</t>
        </is>
      </c>
      <c r="G84" s="4" t="inlineStr"/>
      <c r="H84" s="4" t="inlineStr">
        <is>
          <t>2026-10-21</t>
        </is>
      </c>
    </row>
    <row r="85">
      <c r="A85" s="4" t="inlineStr">
        <is>
          <t>Purdue University (West Lafayette)</t>
        </is>
      </c>
      <c r="B85" s="4" t="inlineStr">
        <is>
          <t>GRE General</t>
        </is>
      </c>
      <c r="C85" s="4" t="inlineStr">
        <is>
          <t>Optional</t>
        </is>
      </c>
      <c r="D85" s="4" t="inlineStr">
        <is>
          <t>Not required, optional</t>
        </is>
      </c>
      <c r="E85" s="4" t="inlineStr">
        <is>
          <t>PHYS GRE and General GRE are not required but are optional.</t>
        </is>
      </c>
      <c r="F85" s="4" t="inlineStr">
        <is>
          <t>https://www.physics.purdue.edu/academic-programs/future_students/admissions.html</t>
        </is>
      </c>
      <c r="G85" s="4" t="inlineStr"/>
      <c r="H85" s="4" t="inlineStr">
        <is>
          <t>2026-10-21</t>
        </is>
      </c>
    </row>
    <row r="86">
      <c r="A86" s="4" t="inlineStr">
        <is>
          <t>Purdue University (West Lafayette)</t>
        </is>
      </c>
      <c r="B86" s="4" t="inlineStr">
        <is>
          <t>Physics GRE</t>
        </is>
      </c>
      <c r="C86" s="4" t="inlineStr">
        <is>
          <t>Optional</t>
        </is>
      </c>
      <c r="D86" s="4" t="inlineStr">
        <is>
          <t>Not required, optional</t>
        </is>
      </c>
      <c r="E86" s="4" t="inlineStr">
        <is>
          <t>PHYS GRE and General GRE are not required but are optional.</t>
        </is>
      </c>
      <c r="F86" s="4" t="inlineStr">
        <is>
          <t>https://www.physics.purdue.edu/academic-programs/future_students/admissions.html</t>
        </is>
      </c>
      <c r="G86" s="4" t="inlineStr"/>
      <c r="H86" s="4" t="inlineStr">
        <is>
          <t>2026-10-21</t>
        </is>
      </c>
    </row>
    <row r="87">
      <c r="A87" s="4" t="inlineStr">
        <is>
          <t>Purdue University (West Lafayette)</t>
        </is>
      </c>
      <c r="B87" s="4" t="inlineStr">
        <is>
          <t>TOEFL minimum</t>
        </is>
      </c>
      <c r="C87" s="4" t="inlineStr">
        <is>
          <t>Not stated</t>
        </is>
      </c>
      <c r="D87" s="4" t="inlineStr">
        <is>
          <t>TOEFL, IELTS and Duolingo accepted; minimum not shown on the pages checked</t>
        </is>
      </c>
      <c r="E87" s="4" t="inlineStr">
        <is>
          <t>The TOEFL (Test of English as a Foreign Language), IELTS (International English Language Testing System), and Duolingo English test evaluate a person’s level of English proficiency</t>
        </is>
      </c>
      <c r="F87" s="4" t="inlineStr">
        <is>
          <t>https://www.purdue.edu/academics/ogsps/admissions/how-to-apply/</t>
        </is>
      </c>
      <c r="G87" s="4" t="inlineStr"/>
      <c r="H87" s="4" t="inlineStr">
        <is>
          <t>2026-10-21</t>
        </is>
      </c>
    </row>
    <row r="88">
      <c r="A88" s="4" t="inlineStr">
        <is>
          <t>Purdue University (West Lafayette)</t>
        </is>
      </c>
      <c r="B88" s="4" t="inlineStr">
        <is>
          <t>English-test waiver (English-medium degree)</t>
        </is>
      </c>
      <c r="C88" s="4" t="inlineStr">
        <is>
          <t>Not stated</t>
        </is>
      </c>
      <c r="D88" s="4" t="inlineStr">
        <is>
          <t>Exemption rules not shown on the pages checked</t>
        </is>
      </c>
      <c r="E88" s="4" t="inlineStr">
        <is>
          <t>(no statement found)</t>
        </is>
      </c>
      <c r="F88" s="4" t="inlineStr">
        <is>
          <t>https://www.purdue.edu/academics/ogsps/admissions/how-to-apply/</t>
        </is>
      </c>
      <c r="G88" s="4" t="inlineStr"/>
      <c r="H88" s="4" t="inlineStr">
        <is>
          <t>2026-10-21</t>
        </is>
      </c>
    </row>
    <row r="89">
      <c r="A89" s="4" t="inlineStr">
        <is>
          <t>Purdue University (West Lafayette)</t>
        </is>
      </c>
      <c r="B89" s="4" t="inlineStr">
        <is>
          <t>Supervisor before admission</t>
        </is>
      </c>
      <c r="C89" s="4" t="inlineStr">
        <is>
          <t>Not stated</t>
        </is>
      </c>
      <c r="D89" s="4" t="inlineStr">
        <is>
          <t>No pre-application supervisor requirement mentioned</t>
        </is>
      </c>
      <c r="E89" s="4" t="inlineStr">
        <is>
          <t>(no statement found)</t>
        </is>
      </c>
      <c r="F89" s="4" t="inlineStr">
        <is>
          <t>https://www.physics.purdue.edu/academic-programs/future_students/admissions.html</t>
        </is>
      </c>
      <c r="G89" s="4" t="inlineStr"/>
      <c r="H89" s="4" t="inlineStr">
        <is>
          <t>2026-10-21</t>
        </is>
      </c>
    </row>
    <row r="90">
      <c r="A90" s="4" t="inlineStr">
        <is>
          <t>Purdue University (West Lafayette)</t>
        </is>
      </c>
      <c r="B90" s="4" t="inlineStr">
        <is>
          <t>PhD funding</t>
        </is>
      </c>
      <c r="C90" s="4" t="inlineStr">
        <is>
          <t>Typical</t>
        </is>
      </c>
      <c r="D90" s="4" t="inlineStr">
        <is>
          <t>Most common support is a half-time (20 h/week) teaching assistantship; tick the box on the main application</t>
        </is>
      </c>
      <c r="E90" s="4" t="inlineStr">
        <is>
          <t>The most common form of financial assistance offered by the Department is the half-time (20 hours per week) graduate teaching assistantship.</t>
        </is>
      </c>
      <c r="F90" s="4" t="inlineStr">
        <is>
          <t>https://www.physics.purdue.edu/academic-programs/future_students/admissions.html</t>
        </is>
      </c>
      <c r="G90" s="4" t="inlineStr"/>
      <c r="H90" s="4" t="inlineStr">
        <is>
          <t>2026-10-21</t>
        </is>
      </c>
    </row>
    <row r="91">
      <c r="A91" s="4" t="inlineStr">
        <is>
          <t>Purdue University (West Lafayette)</t>
        </is>
      </c>
      <c r="B91" s="4" t="inlineStr">
        <is>
          <t>Entry route</t>
        </is>
      </c>
      <c r="C91" s="4" t="inlineStr">
        <is>
          <t>Not stated</t>
        </is>
      </c>
      <c r="D91" s="4" t="inlineStr">
        <is>
          <t>Not stated on the pages checked</t>
        </is>
      </c>
      <c r="E91" s="4" t="inlineStr">
        <is>
          <t>(no statement found)</t>
        </is>
      </c>
      <c r="F91" s="4" t="inlineStr">
        <is>
          <t>https://www.physics.purdue.edu/academic-programs/future_students/admissions.html</t>
        </is>
      </c>
      <c r="G91" s="4" t="inlineStr"/>
      <c r="H91" s="4" t="inlineStr">
        <is>
          <t>2026-10-21</t>
        </is>
      </c>
    </row>
    <row r="92">
      <c r="A92" s="4" t="inlineStr">
        <is>
          <t>Queen's University</t>
        </is>
      </c>
      <c r="B92" s="4" t="inlineStr">
        <is>
          <t>Deadline (Fall 2027)</t>
        </is>
      </c>
      <c r="C92" s="4" t="inlineStr">
        <is>
          <t>2027-01-07</t>
        </is>
      </c>
      <c r="D92" s="4" t="inlineStr">
        <is>
          <t>January 7 for full consideration (September start); rolling review so apply early. Year inferred.</t>
        </is>
      </c>
      <c r="E92" s="4" t="inlineStr">
        <is>
          <t>January 7th Applications received by this day will receive full consideration for admission to the MSc/MASc/PhD program in the following academic year (September start).</t>
        </is>
      </c>
      <c r="F92" s="4" t="inlineStr">
        <is>
          <t>https://www.queensu.ca/physics/grad-studies/applicants</t>
        </is>
      </c>
      <c r="G92" s="4" t="inlineStr">
        <is>
          <t>year inferred; rolling</t>
        </is>
      </c>
      <c r="H92" s="4" t="inlineStr">
        <is>
          <t>2026-10-21</t>
        </is>
      </c>
    </row>
    <row r="93">
      <c r="A93" s="4" t="inlineStr">
        <is>
          <t>Queen's University</t>
        </is>
      </c>
      <c r="B93" s="4" t="inlineStr">
        <is>
          <t>Application fee</t>
        </is>
      </c>
      <c r="C93" s="4" t="inlineStr">
        <is>
          <t>Not stated</t>
        </is>
      </c>
      <c r="D93" s="4" t="inlineStr">
        <is>
          <t>Amount not shown on the pages checked</t>
        </is>
      </c>
      <c r="E93" s="4" t="inlineStr">
        <is>
          <t>(no statement found)</t>
        </is>
      </c>
      <c r="F93" s="4" t="inlineStr">
        <is>
          <t>https://www.queensu.ca/physics/grad-studies/applicants</t>
        </is>
      </c>
      <c r="G93" s="4" t="inlineStr"/>
      <c r="H93" s="4" t="inlineStr">
        <is>
          <t>2026-10-21</t>
        </is>
      </c>
    </row>
    <row r="94">
      <c r="A94" s="4" t="inlineStr">
        <is>
          <t>Queen's University</t>
        </is>
      </c>
      <c r="B94" s="4" t="inlineStr">
        <is>
          <t>Intl fee waiver</t>
        </is>
      </c>
      <c r="C94" s="4" t="inlineStr">
        <is>
          <t>Not stated</t>
        </is>
      </c>
      <c r="D94" s="4" t="inlineStr">
        <is>
          <t>Not stated on the pages checked</t>
        </is>
      </c>
      <c r="E94" s="4" t="inlineStr">
        <is>
          <t>(no statement found)</t>
        </is>
      </c>
      <c r="F94" s="4" t="inlineStr">
        <is>
          <t>https://www.queensu.ca/physics/grad-studies/applicants</t>
        </is>
      </c>
      <c r="G94" s="4" t="inlineStr"/>
      <c r="H94" s="4" t="inlineStr">
        <is>
          <t>2026-10-21</t>
        </is>
      </c>
    </row>
    <row r="95">
      <c r="A95" s="4" t="inlineStr">
        <is>
          <t>Queen's University</t>
        </is>
      </c>
      <c r="B95" s="4" t="inlineStr">
        <is>
          <t>GRE General</t>
        </is>
      </c>
      <c r="C95" s="4" t="inlineStr">
        <is>
          <t>Optional</t>
        </is>
      </c>
      <c r="D95" s="4" t="inlineStr">
        <is>
          <t>Not required; good scores may strengthen an application</t>
        </is>
      </c>
      <c r="E95" s="4" t="inlineStr">
        <is>
          <t>Do I need to take the GRE general and subject exams? We do not require you to take these, however a good performance in the exams may strengthen your application.</t>
        </is>
      </c>
      <c r="F95" s="4" t="inlineStr">
        <is>
          <t>https://www.queensu.ca/physics/grad-studies/faq</t>
        </is>
      </c>
      <c r="G95" s="4" t="inlineStr"/>
      <c r="H95" s="4" t="inlineStr">
        <is>
          <t>2026-10-21</t>
        </is>
      </c>
    </row>
    <row r="96">
      <c r="A96" s="4" t="inlineStr">
        <is>
          <t>Queen's University</t>
        </is>
      </c>
      <c r="B96" s="4" t="inlineStr">
        <is>
          <t>Physics GRE</t>
        </is>
      </c>
      <c r="C96" s="4" t="inlineStr">
        <is>
          <t>Optional</t>
        </is>
      </c>
      <c r="D96" s="4" t="inlineStr">
        <is>
          <t>Not required; good scores may help</t>
        </is>
      </c>
      <c r="E96" s="4" t="inlineStr">
        <is>
          <t>We do not require you to take these, however a good performance in the exams may strengthen your application.</t>
        </is>
      </c>
      <c r="F96" s="4" t="inlineStr">
        <is>
          <t>https://www.queensu.ca/physics/grad-studies/faq</t>
        </is>
      </c>
      <c r="G96" s="4" t="inlineStr"/>
      <c r="H96" s="4" t="inlineStr">
        <is>
          <t>2026-10-21</t>
        </is>
      </c>
    </row>
    <row r="97">
      <c r="A97" s="4" t="inlineStr">
        <is>
          <t>Queen's University</t>
        </is>
      </c>
      <c r="B97" s="4" t="inlineStr">
        <is>
          <t>TOEFL minimum</t>
        </is>
      </c>
      <c r="C97" s="4" t="inlineStr">
        <is>
          <t>Not stated</t>
        </is>
      </c>
      <c r="D97" s="4" t="inlineStr">
        <is>
          <t>ELP test required for non-native speakers; minimum not shown on the pages checked</t>
        </is>
      </c>
      <c r="E97" s="4" t="inlineStr">
        <is>
          <t>Those applicants whose native languages do not include English will need to earn satisfactory standing in an English Language Proficiency Test</t>
        </is>
      </c>
      <c r="F97" s="4" t="inlineStr">
        <is>
          <t>https://www.queensu.ca/physics/grad-studies/admission-requirements</t>
        </is>
      </c>
      <c r="G97" s="4" t="inlineStr"/>
      <c r="H97" s="4" t="inlineStr">
        <is>
          <t>2026-10-21</t>
        </is>
      </c>
    </row>
    <row r="98">
      <c r="A98" s="4" t="inlineStr">
        <is>
          <t>Queen's University</t>
        </is>
      </c>
      <c r="B98" s="4" t="inlineStr">
        <is>
          <t>English-test waiver (English-medium degree)</t>
        </is>
      </c>
      <c r="C98" s="4" t="inlineStr">
        <is>
          <t>Conditional</t>
        </is>
      </c>
      <c r="D98" s="4" t="inlineStr">
        <is>
          <t>You may REQUEST an exemption if, in the 12 months before applying, you studied 1+ full year at a post-secondary institution where English is the official language of instruction</t>
        </is>
      </c>
      <c r="E98" s="4" t="inlineStr">
        <is>
          <t>Any applicant whose first language is not English, but who, within the 12 month period prior to the month of application, has studied for at least one complete year at a post-secondary institution where English is the official language of instruction, may submit with their application a request to be exempted</t>
        </is>
      </c>
      <c r="F98" s="4" t="inlineStr">
        <is>
          <t>https://www.queensu.ca/physics/grad-studies/admission-requirements</t>
        </is>
      </c>
      <c r="G98" s="4" t="inlineStr"/>
      <c r="H98" s="4" t="inlineStr">
        <is>
          <t>2026-10-21</t>
        </is>
      </c>
    </row>
    <row r="99">
      <c r="A99" s="4" t="inlineStr">
        <is>
          <t>Queen's University</t>
        </is>
      </c>
      <c r="B99" s="4" t="inlineStr">
        <is>
          <t>Supervisor before admission</t>
        </is>
      </c>
      <c r="C99" s="4" t="inlineStr">
        <is>
          <t>Recommended</t>
        </is>
      </c>
      <c r="D99" s="4" t="inlineStr">
        <is>
          <t>A complete application needs a research proposal; work with a potential supervisor early</t>
        </is>
      </c>
      <c r="E99" s="4" t="inlineStr">
        <is>
          <t>A complete application requires reference letters and a research proposal, so working with your potential supervisor and an early start is recommended.</t>
        </is>
      </c>
      <c r="F99" s="4" t="inlineStr">
        <is>
          <t>https://www.queensu.ca/physics/grad-studies/applicants</t>
        </is>
      </c>
      <c r="G99" s="4" t="inlineStr"/>
      <c r="H99" s="4" t="inlineStr">
        <is>
          <t>2026-10-21</t>
        </is>
      </c>
    </row>
    <row r="100">
      <c r="A100" s="4" t="inlineStr">
        <is>
          <t>Queen's University</t>
        </is>
      </c>
      <c r="B100" s="4" t="inlineStr">
        <is>
          <t>PhD funding</t>
        </is>
      </c>
      <c r="C100" s="4" t="inlineStr">
        <is>
          <t>Guaranteed</t>
        </is>
      </c>
      <c r="D100" s="4" t="inlineStr">
        <is>
          <t>Minimum stipend guaranteed; PhD for four years (TA ~10 h/week in fall/winter contributes)</t>
        </is>
      </c>
      <c r="E100" s="4" t="inlineStr">
        <is>
          <t>If you are accepted into Graduate studies in our department then we guarantee at least the minimum stipends found on the Funding sections under the MSc, MASc and PhD degree overview pages.</t>
        </is>
      </c>
      <c r="F100" s="4" t="inlineStr">
        <is>
          <t>https://www.queensu.ca/physics/grad-studies/faq</t>
        </is>
      </c>
      <c r="G100" s="4" t="inlineStr"/>
      <c r="H100" s="4" t="inlineStr">
        <is>
          <t>2026-10-21</t>
        </is>
      </c>
    </row>
    <row r="101">
      <c r="A101" s="4" t="inlineStr">
        <is>
          <t>Queen's University</t>
        </is>
      </c>
      <c r="B101" s="4" t="inlineStr">
        <is>
          <t>Entry route</t>
        </is>
      </c>
      <c r="C101" s="4" t="inlineStr">
        <is>
          <t>Master's usually required</t>
        </is>
      </c>
      <c r="D101" s="4" t="inlineStr">
        <is>
          <t>PhD normally needs an MSc/MASc; exceptional master's students may move up without finishing</t>
        </is>
      </c>
      <c r="E101" s="4" t="inlineStr">
        <is>
          <t>The minimum qualification for admission to the doctoral program is a Master's Degree in Science or Applied Science.</t>
        </is>
      </c>
      <c r="F101" s="4" t="inlineStr">
        <is>
          <t>https://www.queensu.ca/physics/grad-studies/admission-requirements</t>
        </is>
      </c>
      <c r="G101" s="4" t="inlineStr"/>
      <c r="H101" s="4" t="inlineStr">
        <is>
          <t>2026-10-21</t>
        </is>
      </c>
    </row>
    <row r="102">
      <c r="A102" s="4" t="inlineStr">
        <is>
          <t>Rice University</t>
        </is>
      </c>
      <c r="B102" s="4" t="inlineStr">
        <is>
          <t>Deadline (Fall 2027)</t>
        </is>
      </c>
      <c r="C102" s="4" t="inlineStr">
        <is>
          <t>2026-12-15</t>
        </is>
      </c>
      <c r="D102" s="4" t="inlineStr">
        <is>
          <t>December 15, 2026, 11:59 EST; late applications considered until April 1, 2027 (less competitive)</t>
        </is>
      </c>
      <c r="E102" s="4" t="inlineStr">
        <is>
          <t>Application Deadline: December 15, 2026, 11:59 EST</t>
        </is>
      </c>
      <c r="F102" s="4" t="inlineStr">
        <is>
          <t>https://physics.rice.edu/how-apply</t>
        </is>
      </c>
      <c r="G102" s="4" t="inlineStr"/>
      <c r="H102" s="4" t="inlineStr">
        <is>
          <t>2026-10-21</t>
        </is>
      </c>
    </row>
    <row r="103">
      <c r="A103" s="4" t="inlineStr">
        <is>
          <t>Rice University</t>
        </is>
      </c>
      <c r="B103" s="4" t="inlineStr">
        <is>
          <t>Application fee</t>
        </is>
      </c>
      <c r="C103" s="4" t="inlineStr">
        <is>
          <t>85 USD</t>
        </is>
      </c>
      <c r="D103" s="4" t="inlineStr">
        <is>
          <t>USD 85</t>
        </is>
      </c>
      <c r="E103" s="4" t="inlineStr">
        <is>
          <t>The application fee is $85.</t>
        </is>
      </c>
      <c r="F103" s="4" t="inlineStr">
        <is>
          <t>https://physics.rice.edu/how-apply</t>
        </is>
      </c>
      <c r="G103" s="4" t="inlineStr"/>
      <c r="H103" s="4" t="inlineStr">
        <is>
          <t>2026-10-21</t>
        </is>
      </c>
    </row>
    <row r="104">
      <c r="A104" s="4" t="inlineStr">
        <is>
          <t>Rice University</t>
        </is>
      </c>
      <c r="B104" s="4" t="inlineStr">
        <is>
          <t>Intl fee waiver</t>
        </is>
      </c>
      <c r="C104" s="4" t="inlineStr">
        <is>
          <t>Available</t>
        </is>
      </c>
      <c r="D104" s="4" t="inlineStr">
        <is>
          <t>Doctoral Fee Waiver Weeks open to students worldwide Oct 14-Nov 1, 2026 (or until waivers run out); completed application due Nov 27. Also waived for Texas/neighbouring-state students, GCURS speakers, Fulbright Scholars.</t>
        </is>
      </c>
      <c r="E104" s="4" t="inlineStr">
        <is>
          <t>This waiver will be available for students worldwide to request at the link here from Oct. 14 - Nov. 1, or until all available waivers have been issued. | A completed application must be submitted by Nov. 27 at 10:59 p.m.</t>
        </is>
      </c>
      <c r="F104" s="4" t="inlineStr">
        <is>
          <t>https://graduate.rice.edu/application-fee-waiver-weeks</t>
        </is>
      </c>
      <c r="G104" s="4" t="inlineStr">
        <is>
          <t>act by 2026-11-01</t>
        </is>
      </c>
      <c r="H104" s="4" t="inlineStr">
        <is>
          <t>2026-10-21</t>
        </is>
      </c>
    </row>
    <row r="105">
      <c r="A105" s="4" t="inlineStr">
        <is>
          <t>Rice University</t>
        </is>
      </c>
      <c r="B105" s="4" t="inlineStr">
        <is>
          <t>GRE General</t>
        </is>
      </c>
      <c r="C105" s="4" t="inlineStr">
        <is>
          <t>Not considered</t>
        </is>
      </c>
      <c r="D105" s="4" t="inlineStr">
        <is>
          <t>Department neither requires nor uses the GRE</t>
        </is>
      </c>
      <c r="E105" s="4" t="inlineStr">
        <is>
          <t>Our department neither requires nor makes use of the GRE subject test in physics or the general GRE exam.</t>
        </is>
      </c>
      <c r="F105" s="4" t="inlineStr">
        <is>
          <t>https://physics.rice.edu/how-apply</t>
        </is>
      </c>
      <c r="G105" s="4" t="inlineStr"/>
      <c r="H105" s="4" t="inlineStr">
        <is>
          <t>2026-10-21</t>
        </is>
      </c>
    </row>
    <row r="106">
      <c r="A106" s="4" t="inlineStr">
        <is>
          <t>Rice University</t>
        </is>
      </c>
      <c r="B106" s="4" t="inlineStr">
        <is>
          <t>Physics GRE</t>
        </is>
      </c>
      <c r="C106" s="4" t="inlineStr">
        <is>
          <t>Not considered</t>
        </is>
      </c>
      <c r="D106" s="4" t="inlineStr">
        <is>
          <t>Department neither requires nor uses the Physics GRE</t>
        </is>
      </c>
      <c r="E106" s="4" t="inlineStr">
        <is>
          <t>Our department neither requires nor makes use of the GRE subject test in physics or the general GRE exam.</t>
        </is>
      </c>
      <c r="F106" s="4" t="inlineStr">
        <is>
          <t>https://physics.rice.edu/how-apply</t>
        </is>
      </c>
      <c r="G106" s="4" t="inlineStr"/>
      <c r="H106" s="4" t="inlineStr">
        <is>
          <t>2026-10-21</t>
        </is>
      </c>
    </row>
    <row r="107">
      <c r="A107" s="4" t="inlineStr">
        <is>
          <t>Rice University</t>
        </is>
      </c>
      <c r="B107" s="4" t="inlineStr">
        <is>
          <t>TOEFL minimum</t>
        </is>
      </c>
      <c r="C107" s="4" t="inlineStr">
        <is>
          <t>90</t>
        </is>
      </c>
      <c r="D107" s="4" t="inlineStr">
        <is>
          <t>TOEFL 90 (before Jan 21, 2026) or 4.5 (new scale); institution code 6609, department code 76</t>
        </is>
      </c>
      <c r="E107" s="4" t="inlineStr">
        <is>
          <t>A minimum score of 90 is required for exams taken before January 21, 2026. The TOEFL IBT Home. A minimum score of 4.5 is</t>
        </is>
      </c>
      <c r="F107" s="4" t="inlineStr">
        <is>
          <t>https://physics.rice.edu/how-apply</t>
        </is>
      </c>
      <c r="G107" s="4" t="inlineStr"/>
      <c r="H107" s="4" t="inlineStr">
        <is>
          <t>2026-10-21</t>
        </is>
      </c>
    </row>
    <row r="108">
      <c r="A108" s="4" t="inlineStr">
        <is>
          <t>Rice University</t>
        </is>
      </c>
      <c r="B108" s="4" t="inlineStr">
        <is>
          <t>English-test waiver (English-medium degree)</t>
        </is>
      </c>
      <c r="C108" s="4" t="inlineStr">
        <is>
          <t>Not stated</t>
        </is>
      </c>
      <c r="D108" s="4" t="inlineStr">
        <is>
          <t>Exemption rules not shown on the department page checked</t>
        </is>
      </c>
      <c r="E108" s="4" t="inlineStr">
        <is>
          <t>(no statement found)</t>
        </is>
      </c>
      <c r="F108" s="4" t="inlineStr">
        <is>
          <t>https://physics.rice.edu/how-apply</t>
        </is>
      </c>
      <c r="G108" s="4" t="inlineStr"/>
      <c r="H108" s="4" t="inlineStr">
        <is>
          <t>2026-10-21</t>
        </is>
      </c>
    </row>
    <row r="109">
      <c r="A109" s="4" t="inlineStr">
        <is>
          <t>Rice University</t>
        </is>
      </c>
      <c r="B109" s="4" t="inlineStr">
        <is>
          <t>Supervisor before admission</t>
        </is>
      </c>
      <c r="C109" s="4" t="inlineStr">
        <is>
          <t>Not stated</t>
        </is>
      </c>
      <c r="D109" s="4" t="inlineStr">
        <is>
          <t>No pre-application supervisor requirement mentioned</t>
        </is>
      </c>
      <c r="E109" s="4" t="inlineStr">
        <is>
          <t>(no statement found)</t>
        </is>
      </c>
      <c r="F109" s="4" t="inlineStr">
        <is>
          <t>https://physics.rice.edu/how-apply</t>
        </is>
      </c>
      <c r="G109" s="4" t="inlineStr"/>
      <c r="H109" s="4" t="inlineStr">
        <is>
          <t>2026-10-21</t>
        </is>
      </c>
    </row>
    <row r="110">
      <c r="A110" s="4" t="inlineStr">
        <is>
          <t>Rice University</t>
        </is>
      </c>
      <c r="B110" s="4" t="inlineStr">
        <is>
          <t>PhD funding</t>
        </is>
      </c>
      <c r="C110" s="4" t="inlineStr">
        <is>
          <t>Not stated</t>
        </is>
      </c>
      <c r="D110" s="4" t="inlineStr">
        <is>
          <t>Not stated on the page checked</t>
        </is>
      </c>
      <c r="E110" s="4" t="inlineStr">
        <is>
          <t>(no statement found)</t>
        </is>
      </c>
      <c r="F110" s="4" t="inlineStr">
        <is>
          <t>https://physics.rice.edu/how-apply</t>
        </is>
      </c>
      <c r="G110" s="4" t="inlineStr"/>
      <c r="H110" s="4" t="inlineStr">
        <is>
          <t>2026-10-21</t>
        </is>
      </c>
    </row>
    <row r="111">
      <c r="A111" s="4" t="inlineStr">
        <is>
          <t>Rice University</t>
        </is>
      </c>
      <c r="B111" s="4" t="inlineStr">
        <is>
          <t>Entry route</t>
        </is>
      </c>
      <c r="C111" s="4" t="inlineStr">
        <is>
          <t>Not stated</t>
        </is>
      </c>
      <c r="D111" s="4" t="inlineStr">
        <is>
          <t>Not stated on the page checked</t>
        </is>
      </c>
      <c r="E111" s="4" t="inlineStr">
        <is>
          <t>(no statement found)</t>
        </is>
      </c>
      <c r="F111" s="4" t="inlineStr">
        <is>
          <t>https://physics.rice.edu/how-apply</t>
        </is>
      </c>
      <c r="G111" s="4" t="inlineStr"/>
      <c r="H111" s="4" t="inlineStr">
        <is>
          <t>2026-10-21</t>
        </is>
      </c>
    </row>
    <row r="112">
      <c r="A112" s="4" t="inlineStr">
        <is>
          <t>Rutgers University (New Brunswick)</t>
        </is>
      </c>
      <c r="B112" s="4" t="inlineStr">
        <is>
          <t>Deadline (Fall 2027)</t>
        </is>
      </c>
      <c r="C112" s="4" t="inlineStr">
        <is>
          <t>2027-01-01</t>
        </is>
      </c>
      <c r="D112" s="4" t="inlineStr">
        <is>
          <t>Submit everything before January 1 for full financial-aid consideration (fall). Year inferred.</t>
        </is>
      </c>
      <c r="E112" s="4" t="inlineStr">
        <is>
          <t>In order to receive full consideration for financial aid, applicants should submit all materials (application, transcripts, and letters of recommendation) before January 1 for fall admission</t>
        </is>
      </c>
      <c r="F112" s="4" t="inlineStr">
        <is>
          <t>https://physics.rutgers.edu/academics/graduate-program/admissions</t>
        </is>
      </c>
      <c r="G112" s="4" t="inlineStr">
        <is>
          <t>year inferred</t>
        </is>
      </c>
      <c r="H112" s="4" t="inlineStr">
        <is>
          <t>2026-10-21</t>
        </is>
      </c>
    </row>
    <row r="113">
      <c r="A113" s="4" t="inlineStr">
        <is>
          <t>Rutgers University (New Brunswick)</t>
        </is>
      </c>
      <c r="B113" s="4" t="inlineStr">
        <is>
          <t>Application fee</t>
        </is>
      </c>
      <c r="C113" s="4" t="inlineStr">
        <is>
          <t>Not stated</t>
        </is>
      </c>
      <c r="D113" s="4" t="inlineStr">
        <is>
          <t>Amount not shown on the pages checked; fee deferrals allowed by SGS</t>
        </is>
      </c>
      <c r="E113" s="4" t="inlineStr">
        <is>
          <t>SGS also allows fee deferrals.</t>
        </is>
      </c>
      <c r="F113" s="4" t="inlineStr">
        <is>
          <t>https://physics.rutgers.edu/academics/graduate-program/graduate-program-faq</t>
        </is>
      </c>
      <c r="G113" s="4" t="inlineStr"/>
      <c r="H113" s="4" t="inlineStr">
        <is>
          <t>2026-10-21</t>
        </is>
      </c>
    </row>
    <row r="114">
      <c r="A114" s="4" t="inlineStr">
        <is>
          <t>Rutgers University (New Brunswick)</t>
        </is>
      </c>
      <c r="B114" s="4" t="inlineStr">
        <is>
          <t>Intl fee waiver</t>
        </is>
      </c>
      <c r="C114" s="4" t="inlineStr">
        <is>
          <t>Limited</t>
        </is>
      </c>
      <c r="D114" s="4" t="inlineStr">
        <is>
          <t>SGS auto-waives for certain groups; department can waive for a few applicants each year, usually used up months before the deadline - ask early</t>
        </is>
      </c>
      <c r="E114" s="4" t="inlineStr">
        <is>
          <t>The department has a small budget that typically allows us to waive fees for a few applicants each year. Normally, all of these funds are used a few months before the application deadline.</t>
        </is>
      </c>
      <c r="F114" s="4" t="inlineStr">
        <is>
          <t>https://physics.rutgers.edu/academics/graduate-program/graduate-program-faq</t>
        </is>
      </c>
      <c r="G114" s="4" t="inlineStr"/>
      <c r="H114" s="4" t="inlineStr">
        <is>
          <t>2026-10-21</t>
        </is>
      </c>
    </row>
    <row r="115">
      <c r="A115" s="4" t="inlineStr">
        <is>
          <t>Rutgers University (New Brunswick)</t>
        </is>
      </c>
      <c r="B115" s="4" t="inlineStr">
        <is>
          <t>GRE General</t>
        </is>
      </c>
      <c r="C115" s="4" t="inlineStr">
        <is>
          <t>Recommended</t>
        </is>
      </c>
      <c r="D115" s="4" t="inlineStr">
        <is>
          <t>Preferred for physics applicants (optional for astronomy)</t>
        </is>
      </c>
      <c r="E115" s="4" t="inlineStr">
        <is>
          <t>The Physics and General GREs are preferred for physics applicants.</t>
        </is>
      </c>
      <c r="F115" s="4" t="inlineStr">
        <is>
          <t>https://physics.rutgers.edu/academics/graduate-program/admissions</t>
        </is>
      </c>
      <c r="G115" s="4" t="inlineStr"/>
      <c r="H115" s="4" t="inlineStr">
        <is>
          <t>2026-10-21</t>
        </is>
      </c>
    </row>
    <row r="116">
      <c r="A116" s="4" t="inlineStr">
        <is>
          <t>Rutgers University (New Brunswick)</t>
        </is>
      </c>
      <c r="B116" s="4" t="inlineStr">
        <is>
          <t>Physics GRE</t>
        </is>
      </c>
      <c r="C116" s="4" t="inlineStr">
        <is>
          <t>Recommended</t>
        </is>
      </c>
      <c r="D116" s="4" t="inlineStr">
        <is>
          <t>Preferred for physics applicants (optional for astronomy); take the October test</t>
        </is>
      </c>
      <c r="E116" s="4" t="inlineStr">
        <is>
          <t>The Physics and General GREs are preferred for physics applicants.</t>
        </is>
      </c>
      <c r="F116" s="4" t="inlineStr">
        <is>
          <t>https://physics.rutgers.edu/academics/graduate-program/admissions</t>
        </is>
      </c>
      <c r="G116" s="4" t="inlineStr"/>
      <c r="H116" s="4" t="inlineStr">
        <is>
          <t>2026-10-21</t>
        </is>
      </c>
    </row>
    <row r="117">
      <c r="A117" s="4" t="inlineStr">
        <is>
          <t>Rutgers University (New Brunswick)</t>
        </is>
      </c>
      <c r="B117" s="4" t="inlineStr">
        <is>
          <t>TOEFL minimum</t>
        </is>
      </c>
      <c r="C117" s="4" t="inlineStr">
        <is>
          <t>Not stated</t>
        </is>
      </c>
      <c r="D117" s="4" t="inlineStr">
        <is>
          <t>Minimums on the SGS site (not checked)</t>
        </is>
      </c>
      <c r="E117" s="4" t="inlineStr">
        <is>
          <t>(no statement found)</t>
        </is>
      </c>
      <c r="F117" s="4" t="inlineStr">
        <is>
          <t>https://physics.rutgers.edu/academics/graduate-program/graduate-program-faq</t>
        </is>
      </c>
      <c r="G117" s="4" t="inlineStr"/>
      <c r="H117" s="4" t="inlineStr">
        <is>
          <t>2026-10-21</t>
        </is>
      </c>
    </row>
    <row r="118">
      <c r="A118" s="4" t="inlineStr">
        <is>
          <t>Rutgers University (New Brunswick)</t>
        </is>
      </c>
      <c r="B118" s="4" t="inlineStr">
        <is>
          <t>English-test waiver (English-medium degree)</t>
        </is>
      </c>
      <c r="C118" s="4" t="inlineStr">
        <is>
          <t>Yes</t>
        </is>
      </c>
      <c r="D118" s="4" t="inlineStr">
        <is>
          <t>Exempt with 3+ years of undergraduate study or a master's where the mode of instruction was English</t>
        </is>
      </c>
      <c r="E118" s="4" t="inlineStr">
        <is>
          <t>You are exempt from submitting TOEFL or IELTS scores if you are a Permanent Resident, US citizen, or an international applicant with a minimum of three years undergraduate studies or a masters degree with the mode of instruction being English.</t>
        </is>
      </c>
      <c r="F118" s="4" t="inlineStr">
        <is>
          <t>https://physics.rutgers.edu/academics/graduate-program/graduate-program-faq</t>
        </is>
      </c>
      <c r="G118" s="4" t="inlineStr"/>
      <c r="H118" s="4" t="inlineStr">
        <is>
          <t>2026-10-21</t>
        </is>
      </c>
    </row>
    <row r="119">
      <c r="A119" s="4" t="inlineStr">
        <is>
          <t>Rutgers University (New Brunswick)</t>
        </is>
      </c>
      <c r="B119" s="4" t="inlineStr">
        <is>
          <t>Supervisor before admission</t>
        </is>
      </c>
      <c r="C119" s="4" t="inlineStr">
        <is>
          <t>Not stated</t>
        </is>
      </c>
      <c r="D119" s="4" t="inlineStr">
        <is>
          <t>No pre-application supervisor requirement mentioned</t>
        </is>
      </c>
      <c r="E119" s="4" t="inlineStr">
        <is>
          <t>(no statement found)</t>
        </is>
      </c>
      <c r="F119" s="4" t="inlineStr">
        <is>
          <t>https://physics.rutgers.edu/academics/graduate-program/admissions</t>
        </is>
      </c>
      <c r="G119" s="4" t="inlineStr"/>
      <c r="H119" s="4" t="inlineStr">
        <is>
          <t>2026-10-21</t>
        </is>
      </c>
    </row>
    <row r="120">
      <c r="A120" s="4" t="inlineStr">
        <is>
          <t>Rutgers University (New Brunswick)</t>
        </is>
      </c>
      <c r="B120" s="4" t="inlineStr">
        <is>
          <t>PhD funding</t>
        </is>
      </c>
      <c r="C120" s="4" t="inlineStr">
        <is>
          <t>Guaranteed</t>
        </is>
      </c>
      <c r="D120" s="4" t="inlineStr">
        <is>
          <t>Department generally guarantees PhD support for 5 years</t>
        </is>
      </c>
      <c r="E120" s="4" t="inlineStr">
        <is>
          <t>We are generally required to guarantee support to all Ph.D. students for 5 years.</t>
        </is>
      </c>
      <c r="F120" s="4" t="inlineStr">
        <is>
          <t>https://physics.rutgers.edu/academics/graduate-program/graduate-program-faq</t>
        </is>
      </c>
      <c r="G120" s="4" t="inlineStr"/>
      <c r="H120" s="4" t="inlineStr">
        <is>
          <t>2026-10-21</t>
        </is>
      </c>
    </row>
    <row r="121">
      <c r="A121" s="4" t="inlineStr">
        <is>
          <t>Rutgers University (New Brunswick)</t>
        </is>
      </c>
      <c r="B121" s="4" t="inlineStr">
        <is>
          <t>Entry route</t>
        </is>
      </c>
      <c r="C121" s="4" t="inlineStr">
        <is>
          <t>Not stated</t>
        </is>
      </c>
      <c r="D121" s="4" t="inlineStr">
        <is>
          <t>Not stated on the pages checked</t>
        </is>
      </c>
      <c r="E121" s="4" t="inlineStr">
        <is>
          <t>(no statement found)</t>
        </is>
      </c>
      <c r="F121" s="4" t="inlineStr">
        <is>
          <t>https://physics.rutgers.edu/academics/graduate-program/admissions</t>
        </is>
      </c>
      <c r="G121" s="4" t="inlineStr"/>
      <c r="H121" s="4" t="inlineStr">
        <is>
          <t>2026-10-21</t>
        </is>
      </c>
    </row>
    <row r="122">
      <c r="A122" s="4" t="inlineStr">
        <is>
          <t>Simon Fraser University</t>
        </is>
      </c>
      <c r="B122" s="4" t="inlineStr">
        <is>
          <t>Deadline (Fall 2027)</t>
        </is>
      </c>
      <c r="C122" s="4" t="inlineStr">
        <is>
          <t>2027-01-15</t>
        </is>
      </c>
      <c r="D122" s="4" t="inlineStr">
        <is>
          <t>Apply before January 15 (better chance at desired group and awards); system open until May 31. Year inferred.</t>
        </is>
      </c>
      <c r="E122" s="4" t="inlineStr">
        <is>
          <t>Applicants are encouraged to apply before January 15, though the admission system remains open until May 31.</t>
        </is>
      </c>
      <c r="F122" s="4" t="inlineStr">
        <is>
          <t>https://www.sfu.ca/physics/graduate/prospective/applying.html</t>
        </is>
      </c>
      <c r="G122" s="4" t="inlineStr">
        <is>
          <t>year inferred; rolling</t>
        </is>
      </c>
      <c r="H122" s="4" t="inlineStr">
        <is>
          <t>2026-10-21</t>
        </is>
      </c>
    </row>
    <row r="123">
      <c r="A123" s="4" t="inlineStr">
        <is>
          <t>Simon Fraser University</t>
        </is>
      </c>
      <c r="B123" s="4" t="inlineStr">
        <is>
          <t>Application fee</t>
        </is>
      </c>
      <c r="C123" s="4" t="inlineStr">
        <is>
          <t>150 CAD</t>
        </is>
      </c>
      <c r="D123" s="4" t="inlineStr">
        <is>
          <t>CAD 150 with international transcripts (CAD 110 Canadian)</t>
        </is>
      </c>
      <c r="E123" s="4" t="inlineStr">
        <is>
          <t>A fee of $110 CDN (for students with Canadian transcripts) or $150 CDN (for students with international transcripts) will apply.</t>
        </is>
      </c>
      <c r="F123" s="4" t="inlineStr">
        <is>
          <t>https://www.sfu.ca/physics/graduate/prospective/applying.html</t>
        </is>
      </c>
      <c r="G123" s="4" t="inlineStr"/>
      <c r="H123" s="4" t="inlineStr">
        <is>
          <t>2026-10-21</t>
        </is>
      </c>
    </row>
    <row r="124">
      <c r="A124" s="4" t="inlineStr">
        <is>
          <t>Simon Fraser University</t>
        </is>
      </c>
      <c r="B124" s="4" t="inlineStr">
        <is>
          <t>Intl fee waiver</t>
        </is>
      </c>
      <c r="C124" s="4" t="inlineStr">
        <is>
          <t>Not stated</t>
        </is>
      </c>
      <c r="D124" s="4" t="inlineStr">
        <is>
          <t>Not stated on the pages checked</t>
        </is>
      </c>
      <c r="E124" s="4" t="inlineStr">
        <is>
          <t>(no statement found)</t>
        </is>
      </c>
      <c r="F124" s="4" t="inlineStr">
        <is>
          <t>https://www.sfu.ca/physics/graduate/prospective/applying.html</t>
        </is>
      </c>
      <c r="G124" s="4" t="inlineStr"/>
      <c r="H124" s="4" t="inlineStr">
        <is>
          <t>2026-10-21</t>
        </is>
      </c>
    </row>
    <row r="125">
      <c r="A125" s="4" t="inlineStr">
        <is>
          <t>Simon Fraser University</t>
        </is>
      </c>
      <c r="B125" s="4" t="inlineStr">
        <is>
          <t>GRE General</t>
        </is>
      </c>
      <c r="C125" s="4" t="inlineStr">
        <is>
          <t>Not stated</t>
        </is>
      </c>
      <c r="D125" s="4" t="inlineStr">
        <is>
          <t>Not stated on the pages checked</t>
        </is>
      </c>
      <c r="E125" s="4" t="inlineStr">
        <is>
          <t>(no statement found)</t>
        </is>
      </c>
      <c r="F125" s="4" t="inlineStr">
        <is>
          <t>https://www.sfu.ca/physics/graduate/prospective/applying.html</t>
        </is>
      </c>
      <c r="G125" s="4" t="inlineStr"/>
      <c r="H125" s="4" t="inlineStr">
        <is>
          <t>2026-10-21</t>
        </is>
      </c>
    </row>
    <row r="126">
      <c r="A126" s="4" t="inlineStr">
        <is>
          <t>Simon Fraser University</t>
        </is>
      </c>
      <c r="B126" s="4" t="inlineStr">
        <is>
          <t>Physics GRE</t>
        </is>
      </c>
      <c r="C126" s="4" t="inlineStr">
        <is>
          <t>Not stated</t>
        </is>
      </c>
      <c r="D126" s="4" t="inlineStr">
        <is>
          <t>Not stated on the pages checked</t>
        </is>
      </c>
      <c r="E126" s="4" t="inlineStr">
        <is>
          <t>(no statement found)</t>
        </is>
      </c>
      <c r="F126" s="4" t="inlineStr">
        <is>
          <t>https://www.sfu.ca/physics/graduate/prospective/applying.html</t>
        </is>
      </c>
      <c r="G126" s="4" t="inlineStr"/>
      <c r="H126" s="4" t="inlineStr">
        <is>
          <t>2026-10-21</t>
        </is>
      </c>
    </row>
    <row r="127">
      <c r="A127" s="4" t="inlineStr">
        <is>
          <t>Simon Fraser University</t>
        </is>
      </c>
      <c r="B127" s="4" t="inlineStr">
        <is>
          <t>TOEFL minimum</t>
        </is>
      </c>
      <c r="C127" s="4" t="inlineStr">
        <is>
          <t>Not stated</t>
        </is>
      </c>
      <c r="D127" s="4" t="inlineStr">
        <is>
          <t>University minimums apply; not shown on the pages checked</t>
        </is>
      </c>
      <c r="E127" s="4" t="inlineStr">
        <is>
          <t>Applicants whose primary language is not English must submit English proficiency examination results that meet the University minimum requirements for graduate admission.</t>
        </is>
      </c>
      <c r="F127" s="4" t="inlineStr">
        <is>
          <t>https://www.sfu.ca/physics/graduate/prospective/admission-requirements.html</t>
        </is>
      </c>
      <c r="G127" s="4" t="inlineStr"/>
      <c r="H127" s="4" t="inlineStr">
        <is>
          <t>2026-10-21</t>
        </is>
      </c>
    </row>
    <row r="128">
      <c r="A128" s="4" t="inlineStr">
        <is>
          <t>Simon Fraser University</t>
        </is>
      </c>
      <c r="B128" s="4" t="inlineStr">
        <is>
          <t>English-test waiver (English-medium degree)</t>
        </is>
      </c>
      <c r="C128" s="4" t="inlineStr">
        <is>
          <t>No</t>
        </is>
      </c>
      <c r="D128" s="4" t="inlineStr">
        <is>
          <t>Exempt only if BOTH: degree taught and examined in English AND institution in an English-primary country (list linked); otherwise submit scores</t>
        </is>
      </c>
      <c r="E128" s="4" t="inlineStr">
        <is>
          <t>International applicants are exempt from providing English test scores if both of the following conditions are met: They have completed a post-secondary degree at an institution where the language of instruction and examination was in English. That the institution was located in a country where English is the primary language (including Canada).</t>
        </is>
      </c>
      <c r="F128" s="4" t="inlineStr">
        <is>
          <t>https://www.sfu.ca/physics/graduate/prospective/admission-requirements.html</t>
        </is>
      </c>
      <c r="G128" s="4" t="inlineStr"/>
      <c r="H128" s="4" t="inlineStr">
        <is>
          <t>2026-10-21</t>
        </is>
      </c>
    </row>
    <row r="129">
      <c r="A129" s="4" t="inlineStr">
        <is>
          <t>Simon Fraser University</t>
        </is>
      </c>
      <c r="B129" s="4" t="inlineStr">
        <is>
          <t>Supervisor before admission</t>
        </is>
      </c>
      <c r="C129" s="4" t="inlineStr">
        <is>
          <t>Not stated</t>
        </is>
      </c>
      <c r="D129" s="4" t="inlineStr">
        <is>
          <t>Not stated in the text checked; transfers need supervisory committee approval</t>
        </is>
      </c>
      <c r="E129" s="4" t="inlineStr">
        <is>
          <t>(no statement found)</t>
        </is>
      </c>
      <c r="F129" s="4" t="inlineStr">
        <is>
          <t>https://www.sfu.ca/physics/graduate/prospective/applying.html</t>
        </is>
      </c>
      <c r="G129" s="4" t="inlineStr"/>
      <c r="H129" s="4" t="inlineStr">
        <is>
          <t>2026-10-21</t>
        </is>
      </c>
    </row>
    <row r="130">
      <c r="A130" s="4" t="inlineStr">
        <is>
          <t>Simon Fraser University</t>
        </is>
      </c>
      <c r="B130" s="4" t="inlineStr">
        <is>
          <t>PhD funding</t>
        </is>
      </c>
      <c r="C130" s="4" t="inlineStr">
        <is>
          <t>Not stated</t>
        </is>
      </c>
      <c r="D130" s="4" t="inlineStr">
        <is>
          <t>Not stated on the pages checked</t>
        </is>
      </c>
      <c r="E130" s="4" t="inlineStr">
        <is>
          <t>(no statement found)</t>
        </is>
      </c>
      <c r="F130" s="4" t="inlineStr">
        <is>
          <t>https://www.sfu.ca/physics/graduate/prospective/applying.html</t>
        </is>
      </c>
      <c r="G130" s="4" t="inlineStr"/>
      <c r="H130" s="4" t="inlineStr">
        <is>
          <t>2026-10-21</t>
        </is>
      </c>
    </row>
    <row r="131">
      <c r="A131" s="4" t="inlineStr">
        <is>
          <t>Simon Fraser University</t>
        </is>
      </c>
      <c r="B131" s="4" t="inlineStr">
        <is>
          <t>Entry route</t>
        </is>
      </c>
      <c r="C131" s="4" t="inlineStr">
        <is>
          <t>Master's usually required</t>
        </is>
      </c>
      <c r="D131" s="4" t="inlineStr">
        <is>
          <t>Master's or equivalent required; BSc holders cannot apply directly but can transfer from the MSc</t>
        </is>
      </c>
      <c r="E131" s="4" t="inlineStr">
        <is>
          <t>A master's degree, or the equivalent is required. | Note that BSc degree-holders may not apply directly to the PhD program, but may apply for transfer to the PhD program without completing an MSc degree.</t>
        </is>
      </c>
      <c r="F131" s="4" t="inlineStr">
        <is>
          <t>https://www.sfu.ca/physics/graduate/prospective/admission-requirements.html</t>
        </is>
      </c>
      <c r="G131" s="4" t="inlineStr"/>
      <c r="H131" s="4" t="inlineStr">
        <is>
          <t>2026-10-21</t>
        </is>
      </c>
    </row>
    <row r="132">
      <c r="A132" s="4" t="inlineStr">
        <is>
          <t>Stanford University</t>
        </is>
      </c>
      <c r="B132" s="4" t="inlineStr">
        <is>
          <t>Deadline (Fall 2027)</t>
        </is>
      </c>
      <c r="C132" s="4" t="inlineStr">
        <is>
          <t>2026-12-14</t>
        </is>
      </c>
      <c r="D132" s="4" t="inlineStr">
        <is>
          <t>11:59pm PST, December 14, 2026 (no late applications); Knight-Hennessy applicants: physics application by December 1, 2026</t>
        </is>
      </c>
      <c r="E132" s="4" t="inlineStr">
        <is>
          <t>The application deadline for this academic year 2026-27 (2027-28 admissions cycle) is 11:59pm Pacific Standard Time, Monday, December 14, 2026.</t>
        </is>
      </c>
      <c r="F132" s="4" t="inlineStr">
        <is>
          <t>https://physics.stanford.edu/graduate/graduate-admissions</t>
        </is>
      </c>
      <c r="G132" s="4" t="inlineStr"/>
      <c r="H132" s="4" t="inlineStr">
        <is>
          <t>2026-10-21</t>
        </is>
      </c>
    </row>
    <row r="133">
      <c r="A133" s="4" t="inlineStr">
        <is>
          <t>Stanford University</t>
        </is>
      </c>
      <c r="B133" s="4" t="inlineStr">
        <is>
          <t>Application fee</t>
        </is>
      </c>
      <c r="C133" s="4" t="inlineStr">
        <is>
          <t>Not stated</t>
        </is>
      </c>
      <c r="D133" s="4" t="inlineStr">
        <is>
          <t>Amount not shown on the pages checked</t>
        </is>
      </c>
      <c r="E133" s="4" t="inlineStr">
        <is>
          <t>(no statement found)</t>
        </is>
      </c>
      <c r="F133" s="4" t="inlineStr">
        <is>
          <t>https://physics.stanford.edu/graduate/graduate-admissions</t>
        </is>
      </c>
      <c r="G133" s="4" t="inlineStr"/>
      <c r="H133" s="4" t="inlineStr">
        <is>
          <t>2026-10-21</t>
        </is>
      </c>
    </row>
    <row r="134">
      <c r="A134" s="4" t="inlineStr">
        <is>
          <t>Stanford University</t>
        </is>
      </c>
      <c r="B134" s="4" t="inlineStr">
        <is>
          <t>Intl fee waiver</t>
        </is>
      </c>
      <c r="C134" s="4" t="inlineStr">
        <is>
          <t>Limited</t>
        </is>
      </c>
      <c r="D134" s="4" t="inlineStr">
        <is>
          <t>Some applicants may qualify; see Stanford Graduate Admissions fee-waiver page for eligibility</t>
        </is>
      </c>
      <c r="E134" s="4" t="inlineStr">
        <is>
          <t>Some applicants may qualify for an application fee waiver.</t>
        </is>
      </c>
      <c r="F134" s="4" t="inlineStr">
        <is>
          <t>https://physics.stanford.edu/graduate/graduate-admissions/application-faqs</t>
        </is>
      </c>
      <c r="G134" s="4" t="inlineStr"/>
      <c r="H134" s="4" t="inlineStr">
        <is>
          <t>2026-10-21</t>
        </is>
      </c>
    </row>
    <row r="135">
      <c r="A135" s="4" t="inlineStr">
        <is>
          <t>Stanford University</t>
        </is>
      </c>
      <c r="B135" s="4" t="inlineStr">
        <is>
          <t>GRE General</t>
        </is>
      </c>
      <c r="C135" s="4" t="inlineStr">
        <is>
          <t>Required</t>
        </is>
      </c>
      <c r="D135" s="4" t="inlineStr">
        <is>
          <t>GRE General REQUIRED for all applicants (exceptions case-by-case)</t>
        </is>
      </c>
      <c r="E135" s="4" t="inlineStr">
        <is>
          <t>For the Fall 2027-28 admissions cycle, The GRE General Test and the Physics GRE Subject Test are required for all applicants</t>
        </is>
      </c>
      <c r="F135" s="4" t="inlineStr">
        <is>
          <t>https://physics.stanford.edu/graduate/graduate-admissions/application-faqs</t>
        </is>
      </c>
      <c r="G135" s="4" t="inlineStr"/>
      <c r="H135" s="4" t="inlineStr">
        <is>
          <t>2026-10-21</t>
        </is>
      </c>
    </row>
    <row r="136">
      <c r="A136" s="4" t="inlineStr">
        <is>
          <t>Stanford University</t>
        </is>
      </c>
      <c r="B136" s="4" t="inlineStr">
        <is>
          <t>Physics GRE</t>
        </is>
      </c>
      <c r="C136" s="4" t="inlineStr">
        <is>
          <t>Required</t>
        </is>
      </c>
      <c r="D136" s="4" t="inlineStr">
        <is>
          <t>Physics GRE REQUIRED for all applicants</t>
        </is>
      </c>
      <c r="E136" s="4" t="inlineStr">
        <is>
          <t>For the Fall 2027-28 admissions cycle, The GRE General Test and the Physics GRE Subject Test are required for all applicants, as they help us fairly assess problem-solving skills.</t>
        </is>
      </c>
      <c r="F136" s="4" t="inlineStr">
        <is>
          <t>https://physics.stanford.edu/graduate/graduate-admissions/application-faqs</t>
        </is>
      </c>
      <c r="G136" s="4" t="inlineStr"/>
      <c r="H136" s="4" t="inlineStr">
        <is>
          <t>2026-10-21</t>
        </is>
      </c>
    </row>
    <row r="137">
      <c r="A137" s="4" t="inlineStr">
        <is>
          <t>Stanford University</t>
        </is>
      </c>
      <c r="B137" s="4" t="inlineStr">
        <is>
          <t>TOEFL minimum</t>
        </is>
      </c>
      <c r="C137" s="4" t="inlineStr">
        <is>
          <t>Not stated</t>
        </is>
      </c>
      <c r="D137" s="4" t="inlineStr">
        <is>
          <t>TOEFL iBT or IELTS Academic at the university minimum; minimum not shown on the pages checked</t>
        </is>
      </c>
      <c r="E137" s="4" t="inlineStr">
        <is>
          <t>at the time of application you are required to submit an official test score from the Test of English as a Foreign Language Internet-Based Test (TOEFL iBT) or the International English Language Testing System Academic Test (IELTS Academic) that meets the university’s minimum score</t>
        </is>
      </c>
      <c r="F137" s="4" t="inlineStr">
        <is>
          <t>https://physics.stanford.edu/graduate/graduate-admissions/application-faqs</t>
        </is>
      </c>
      <c r="G137" s="4" t="inlineStr"/>
      <c r="H137" s="4" t="inlineStr">
        <is>
          <t>2026-10-21</t>
        </is>
      </c>
    </row>
    <row r="138">
      <c r="A138" s="4" t="inlineStr">
        <is>
          <t>Stanford University</t>
        </is>
      </c>
      <c r="B138" s="4" t="inlineStr">
        <is>
          <t>English-test waiver (English-medium degree)</t>
        </is>
      </c>
      <c r="C138" s="4" t="inlineStr">
        <is>
          <t>Yes</t>
        </is>
      </c>
      <c r="D138" s="4" t="inlineStr">
        <is>
          <t>Not required if your degree (or international equivalent) is from a university where ALL instruction was in English; no documents needed at application</t>
        </is>
      </c>
      <c r="E138" s="4" t="inlineStr">
        <is>
          <t>You earned a U.S. bachelor’s, master’s or doctoral degree, or international equivalent from a university where all instruction was conducted in English.</t>
        </is>
      </c>
      <c r="F138" s="4" t="inlineStr">
        <is>
          <t>https://physics.stanford.edu/graduate/graduate-admissions/application-faqs</t>
        </is>
      </c>
      <c r="G138" s="4" t="inlineStr"/>
      <c r="H138" s="4" t="inlineStr">
        <is>
          <t>2026-10-21</t>
        </is>
      </c>
    </row>
    <row r="139">
      <c r="A139" s="4" t="inlineStr">
        <is>
          <t>Stanford University</t>
        </is>
      </c>
      <c r="B139" s="4" t="inlineStr">
        <is>
          <t>Supervisor before admission</t>
        </is>
      </c>
      <c r="C139" s="4" t="inlineStr">
        <is>
          <t>Not stated</t>
        </is>
      </c>
      <c r="D139" s="4" t="inlineStr">
        <is>
          <t>No pre-application supervisor requirement mentioned (you choose theory/experiment/astro area)</t>
        </is>
      </c>
      <c r="E139" s="4" t="inlineStr">
        <is>
          <t>(no statement found)</t>
        </is>
      </c>
      <c r="F139" s="4" t="inlineStr">
        <is>
          <t>https://physics.stanford.edu/graduate/graduate-admissions</t>
        </is>
      </c>
      <c r="G139" s="4" t="inlineStr"/>
      <c r="H139" s="4" t="inlineStr">
        <is>
          <t>2026-10-21</t>
        </is>
      </c>
    </row>
    <row r="140">
      <c r="A140" s="4" t="inlineStr">
        <is>
          <t>Stanford University</t>
        </is>
      </c>
      <c r="B140" s="4" t="inlineStr">
        <is>
          <t>PhD funding</t>
        </is>
      </c>
      <c r="C140" s="4" t="inlineStr">
        <is>
          <t>Guaranteed</t>
        </is>
      </c>
      <c r="D140" s="4" t="inlineStr">
        <is>
          <t>Department provides financial support for all enrolled students</t>
        </is>
      </c>
      <c r="E140" s="4" t="inlineStr">
        <is>
          <t>The Department provides financial support for all enrolled students.</t>
        </is>
      </c>
      <c r="F140" s="4" t="inlineStr">
        <is>
          <t>https://physics.stanford.edu/graduate/graduate-admissions</t>
        </is>
      </c>
      <c r="G140" s="4" t="inlineStr"/>
      <c r="H140" s="4" t="inlineStr">
        <is>
          <t>2026-10-21</t>
        </is>
      </c>
    </row>
    <row r="141">
      <c r="A141" s="4" t="inlineStr">
        <is>
          <t>Stanford University</t>
        </is>
      </c>
      <c r="B141" s="4" t="inlineStr">
        <is>
          <t>Entry route</t>
        </is>
      </c>
      <c r="C141" s="4" t="inlineStr">
        <is>
          <t>Not stated</t>
        </is>
      </c>
      <c r="D141" s="4" t="inlineStr">
        <is>
          <t>Not stated on the pages checked</t>
        </is>
      </c>
      <c r="E141" s="4" t="inlineStr">
        <is>
          <t>(no statement found)</t>
        </is>
      </c>
      <c r="F141" s="4" t="inlineStr">
        <is>
          <t>https://physics.stanford.edu/graduate/graduate-admissions</t>
        </is>
      </c>
      <c r="G141" s="4" t="inlineStr"/>
      <c r="H141" s="4" t="inlineStr">
        <is>
          <t>2026-10-21</t>
        </is>
      </c>
    </row>
    <row r="142">
      <c r="A142" s="4" t="inlineStr">
        <is>
          <t>Stony Brook University (SUNY)</t>
        </is>
      </c>
      <c r="B142" s="4" t="inlineStr">
        <is>
          <t>Deadline (Fall 2027)</t>
        </is>
      </c>
      <c r="C142" s="4" t="inlineStr">
        <is>
          <t>2026-12-15</t>
        </is>
      </c>
      <c r="D142" s="4" t="inlineStr">
        <is>
          <t>One strict deadline: December 15 (PhD and MSI, Fall). Year inferred.</t>
        </is>
      </c>
      <c r="E142" s="4" t="inlineStr">
        <is>
          <t>PhD and MSI Fall applications have one strict deadline: December 15.</t>
        </is>
      </c>
      <c r="F142" s="4" t="inlineStr">
        <is>
          <t>https://www.stonybrook.edu/physics/graduate/apply.html</t>
        </is>
      </c>
      <c r="G142" s="4" t="inlineStr">
        <is>
          <t>year inferred</t>
        </is>
      </c>
      <c r="H142" s="4" t="inlineStr">
        <is>
          <t>2026-10-21</t>
        </is>
      </c>
    </row>
    <row r="143">
      <c r="A143" s="4" t="inlineStr">
        <is>
          <t>Stony Brook University (SUNY)</t>
        </is>
      </c>
      <c r="B143" s="4" t="inlineStr">
        <is>
          <t>Application fee</t>
        </is>
      </c>
      <c r="C143" s="4" t="inlineStr">
        <is>
          <t>100 USD</t>
        </is>
      </c>
      <c r="D143" s="4" t="inlineStr">
        <is>
          <t>USD 100</t>
        </is>
      </c>
      <c r="E143" s="4" t="inlineStr">
        <is>
          <t>An application fee of $100 is required.</t>
        </is>
      </c>
      <c r="F143" s="4" t="inlineStr">
        <is>
          <t>https://www.stonybrook.edu/physics/graduate/apply.html</t>
        </is>
      </c>
      <c r="G143" s="4" t="inlineStr"/>
      <c r="H143" s="4" t="inlineStr">
        <is>
          <t>2026-10-21</t>
        </is>
      </c>
    </row>
    <row r="144">
      <c r="A144" s="4" t="inlineStr">
        <is>
          <t>Stony Brook University (SUNY)</t>
        </is>
      </c>
      <c r="B144" s="4" t="inlineStr">
        <is>
          <t>Intl fee waiver</t>
        </is>
      </c>
      <c r="C144" s="4" t="inlineStr">
        <is>
          <t>Domestic only</t>
        </is>
      </c>
      <c r="D144" s="4" t="inlineStr">
        <is>
          <t>Graduate School waivers for domestic (US) applicants; a separate department program covers fees for Latin American applicants</t>
        </is>
      </c>
      <c r="E144" s="4" t="inlineStr">
        <is>
          <t>Domestic (US) applicants may be eligible for a waiver – see the eligibility requirements and waiver procedure from the Graduate School.</t>
        </is>
      </c>
      <c r="F144" s="4" t="inlineStr">
        <is>
          <t>https://www.stonybrook.edu/physics/graduate/apply.html</t>
        </is>
      </c>
      <c r="G144" s="4" t="inlineStr"/>
      <c r="H144" s="4" t="inlineStr">
        <is>
          <t>2026-10-21</t>
        </is>
      </c>
    </row>
    <row r="145">
      <c r="A145" s="4" t="inlineStr">
        <is>
          <t>Stony Brook University (SUNY)</t>
        </is>
      </c>
      <c r="B145" s="4" t="inlineStr">
        <is>
          <t>GRE General</t>
        </is>
      </c>
      <c r="C145" s="4" t="inlineStr">
        <is>
          <t>Not considered</t>
        </is>
      </c>
      <c r="D145" s="4" t="inlineStr">
        <is>
          <t>Not required and no longer accepted</t>
        </is>
      </c>
      <c r="E145" s="4" t="inlineStr">
        <is>
          <t>We do not require the general or Physics GRE for any of our programs, and no longer accept these scores.</t>
        </is>
      </c>
      <c r="F145" s="4" t="inlineStr">
        <is>
          <t>https://www.stonybrook.edu/physics/graduate/apply.html</t>
        </is>
      </c>
      <c r="G145" s="4" t="inlineStr"/>
      <c r="H145" s="4" t="inlineStr">
        <is>
          <t>2026-10-21</t>
        </is>
      </c>
    </row>
    <row r="146">
      <c r="A146" s="4" t="inlineStr">
        <is>
          <t>Stony Brook University (SUNY)</t>
        </is>
      </c>
      <c r="B146" s="4" t="inlineStr">
        <is>
          <t>Physics GRE</t>
        </is>
      </c>
      <c r="C146" s="4" t="inlineStr">
        <is>
          <t>Not considered</t>
        </is>
      </c>
      <c r="D146" s="4" t="inlineStr">
        <is>
          <t>Not required and no longer accepted</t>
        </is>
      </c>
      <c r="E146" s="4" t="inlineStr">
        <is>
          <t>We do not require the general or Physics GRE for any of our programs, and no longer accept these scores.</t>
        </is>
      </c>
      <c r="F146" s="4" t="inlineStr">
        <is>
          <t>https://www.stonybrook.edu/physics/graduate/apply.html</t>
        </is>
      </c>
      <c r="G146" s="4" t="inlineStr"/>
      <c r="H146" s="4" t="inlineStr">
        <is>
          <t>2026-10-21</t>
        </is>
      </c>
    </row>
    <row r="147">
      <c r="A147" s="4" t="inlineStr">
        <is>
          <t>Stony Brook University (SUNY)</t>
        </is>
      </c>
      <c r="B147" s="4" t="inlineStr">
        <is>
          <t>TOEFL minimum</t>
        </is>
      </c>
      <c r="C147" s="4" t="inlineStr">
        <is>
          <t>5 (new scale)</t>
        </is>
      </c>
      <c r="D147" s="4" t="inlineStr">
        <is>
          <t>TOEFL 5 overall on the current 1-6 scale for doctoral applicants (from Jan 21, 2026); higher speaking score needed to TA</t>
        </is>
      </c>
      <c r="E147" s="4" t="inlineStr">
        <is>
          <t>Under the TOEFL iBT’s current scoring scale (effective January 21, 2026), the minimum overall score is 5 for doctoral applicants and 4.5 for master’s applicants.</t>
        </is>
      </c>
      <c r="F147" s="4" t="inlineStr">
        <is>
          <t>https://www.stonybrook.edu/physics/graduate/apply.html</t>
        </is>
      </c>
      <c r="G147" s="4" t="inlineStr"/>
      <c r="H147" s="4" t="inlineStr">
        <is>
          <t>2026-10-21</t>
        </is>
      </c>
    </row>
    <row r="148">
      <c r="A148" s="4" t="inlineStr">
        <is>
          <t>Stony Brook University (SUNY)</t>
        </is>
      </c>
      <c r="B148" s="4" t="inlineStr">
        <is>
          <t>English-test waiver (English-medium degree)</t>
        </is>
      </c>
      <c r="C148" s="4" t="inlineStr">
        <is>
          <t>Yes</t>
        </is>
      </c>
      <c r="D148" s="4" t="inlineStr">
        <is>
          <t>Exemption examples include a degree from an English-instruction institution</t>
        </is>
      </c>
      <c r="E148" s="4" t="inlineStr">
        <is>
          <t>Applicants who are not native or primary speakers of English, and don’t otherwise qualify for an exemption (e.g. a degree from an English-instruction institution, US citizenship/National status, or English-instruction TA experience), must submit TOEFL, IELTS, or Gateway English Test scores.</t>
        </is>
      </c>
      <c r="F148" s="4" t="inlineStr">
        <is>
          <t>https://www.stonybrook.edu/physics/graduate/apply.html</t>
        </is>
      </c>
      <c r="G148" s="4" t="inlineStr"/>
      <c r="H148" s="4" t="inlineStr">
        <is>
          <t>2026-10-21</t>
        </is>
      </c>
    </row>
    <row r="149">
      <c r="A149" s="4" t="inlineStr">
        <is>
          <t>Stony Brook University (SUNY)</t>
        </is>
      </c>
      <c r="B149" s="4" t="inlineStr">
        <is>
          <t>Supervisor before admission</t>
        </is>
      </c>
      <c r="C149" s="4" t="inlineStr">
        <is>
          <t>Not stated</t>
        </is>
      </c>
      <c r="D149" s="4" t="inlineStr">
        <is>
          <t>No pre-application supervisor requirement mentioned</t>
        </is>
      </c>
      <c r="E149" s="4" t="inlineStr">
        <is>
          <t>(no statement found)</t>
        </is>
      </c>
      <c r="F149" s="4" t="inlineStr">
        <is>
          <t>https://www.stonybrook.edu/physics/graduate/apply.html</t>
        </is>
      </c>
      <c r="G149" s="4" t="inlineStr"/>
      <c r="H149" s="4" t="inlineStr">
        <is>
          <t>2026-10-21</t>
        </is>
      </c>
    </row>
    <row r="150">
      <c r="A150" s="4" t="inlineStr">
        <is>
          <t>Stony Brook University (SUNY)</t>
        </is>
      </c>
      <c r="B150" s="4" t="inlineStr">
        <is>
          <t>PhD funding</t>
        </is>
      </c>
      <c r="C150" s="4" t="inlineStr">
        <is>
          <t>Guaranteed</t>
        </is>
      </c>
      <c r="D150" s="4" t="inlineStr">
        <is>
          <t>Full support for the duration; 9-month TA stipend USD 30,000 (+8,000 summer TA); RA salary 41,000 (2026)</t>
        </is>
      </c>
      <c r="E150" s="4" t="inlineStr">
        <is>
          <t>PhD students receive full financial support for the duration of their studies. | The current 9-month TA stipend is $30,000, plus an additional $8,000 for a full summer TA position.</t>
        </is>
      </c>
      <c r="F150" s="4" t="inlineStr">
        <is>
          <t>https://www.stonybrook.edu/physics/graduate/apply.html</t>
        </is>
      </c>
      <c r="G150" s="4" t="inlineStr"/>
      <c r="H150" s="4" t="inlineStr">
        <is>
          <t>2026-10-21</t>
        </is>
      </c>
    </row>
    <row r="151">
      <c r="A151" s="4" t="inlineStr">
        <is>
          <t>Stony Brook University (SUNY)</t>
        </is>
      </c>
      <c r="B151" s="4" t="inlineStr">
        <is>
          <t>Entry route</t>
        </is>
      </c>
      <c r="C151" s="4" t="inlineStr">
        <is>
          <t>Not stated</t>
        </is>
      </c>
      <c r="D151" s="4" t="inlineStr">
        <is>
          <t>Not stated on the page checked</t>
        </is>
      </c>
      <c r="E151" s="4" t="inlineStr">
        <is>
          <t>(no statement found)</t>
        </is>
      </c>
      <c r="F151" s="4" t="inlineStr">
        <is>
          <t>https://www.stonybrook.edu/physics/graduate/apply.html</t>
        </is>
      </c>
      <c r="G151" s="4" t="inlineStr"/>
      <c r="H151" s="4" t="inlineStr">
        <is>
          <t>2026-10-21</t>
        </is>
      </c>
    </row>
    <row r="152">
      <c r="A152" s="4" t="inlineStr">
        <is>
          <t>Texas A&amp;M University</t>
        </is>
      </c>
      <c r="B152" s="4" t="inlineStr">
        <is>
          <t>Deadline (Fall 2027)</t>
        </is>
      </c>
      <c r="C152" s="4" t="inlineStr">
        <is>
          <t>2027-01-10</t>
        </is>
      </c>
      <c r="D152" s="4" t="inlineStr">
        <is>
          <t>January 10, 2027 (later applications accepted but processed after)</t>
        </is>
      </c>
      <c r="E152" s="4" t="inlineStr">
        <is>
          <t>The deadline for the application is January 10, 2027.</t>
        </is>
      </c>
      <c r="F152" s="4" t="inlineStr">
        <is>
          <t>https://artsci.tamu.edu/physics-astronomy/academics/prospective-graduates/faqs.html</t>
        </is>
      </c>
      <c r="G152" s="4" t="inlineStr"/>
      <c r="H152" s="4" t="inlineStr">
        <is>
          <t>2026-10-21</t>
        </is>
      </c>
    </row>
    <row r="153">
      <c r="A153" s="4" t="inlineStr">
        <is>
          <t>Texas A&amp;M University</t>
        </is>
      </c>
      <c r="B153" s="4" t="inlineStr">
        <is>
          <t>Application fee</t>
        </is>
      </c>
      <c r="C153" s="4" t="inlineStr">
        <is>
          <t>114 USD</t>
        </is>
      </c>
      <c r="D153" s="4" t="inlineStr">
        <is>
          <t>USD 114 international (USD 89 domestic)</t>
        </is>
      </c>
      <c r="E153" s="4" t="inlineStr">
        <is>
          <t>The application fee for domestic students is $89, while international students pay $114.</t>
        </is>
      </c>
      <c r="F153" s="4" t="inlineStr">
        <is>
          <t>https://artsci.tamu.edu/physics-astronomy/academics/prospective-graduates/how-to-apply.html</t>
        </is>
      </c>
      <c r="G153" s="4" t="inlineStr"/>
      <c r="H153" s="4" t="inlineStr">
        <is>
          <t>2026-10-21</t>
        </is>
      </c>
    </row>
    <row r="154">
      <c r="A154" s="4" t="inlineStr">
        <is>
          <t>Texas A&amp;M University</t>
        </is>
      </c>
      <c r="B154" s="4" t="inlineStr">
        <is>
          <t>Intl fee waiver</t>
        </is>
      </c>
      <c r="C154" s="4" t="inlineStr">
        <is>
          <t>Domestic only</t>
        </is>
      </c>
      <c r="D154" s="4" t="inlineStr">
        <is>
          <t>Automatic waiver for Pell Grant or McNair recipients (U.S. programs); no international route stated on the pages checked</t>
        </is>
      </c>
      <c r="E154" s="4" t="inlineStr">
        <is>
          <t>If you are the recipient of a Pell Grant or a McNair Scholarship, you automatically qualify for an application fee waiver.</t>
        </is>
      </c>
      <c r="F154" s="4" t="inlineStr">
        <is>
          <t>https://artsci.tamu.edu/physics-astronomy/academics/prospective-graduates/faqs.html</t>
        </is>
      </c>
      <c r="G154" s="4" t="inlineStr"/>
      <c r="H154" s="4" t="inlineStr">
        <is>
          <t>2026-10-21</t>
        </is>
      </c>
    </row>
    <row r="155">
      <c r="A155" s="4" t="inlineStr">
        <is>
          <t>Texas A&amp;M University</t>
        </is>
      </c>
      <c r="B155" s="4" t="inlineStr">
        <is>
          <t>GRE General</t>
        </is>
      </c>
      <c r="C155" s="4" t="inlineStr">
        <is>
          <t>Optional</t>
        </is>
      </c>
      <c r="D155" s="4" t="inlineStr">
        <is>
          <t>Not required; considered if submitted</t>
        </is>
      </c>
      <c r="E155" s="4" t="inlineStr">
        <is>
          <t>General GRE (Verbal, Quantitative, and Analytical Writing) and Subject GRE (Physics) test scores are not required for applications.</t>
        </is>
      </c>
      <c r="F155" s="4" t="inlineStr">
        <is>
          <t>https://artsci.tamu.edu/physics-astronomy/academics/prospective-graduates/how-to-apply.html</t>
        </is>
      </c>
      <c r="G155" s="4" t="inlineStr"/>
      <c r="H155" s="4" t="inlineStr">
        <is>
          <t>2026-10-21</t>
        </is>
      </c>
    </row>
    <row r="156">
      <c r="A156" s="4" t="inlineStr">
        <is>
          <t>Texas A&amp;M University</t>
        </is>
      </c>
      <c r="B156" s="4" t="inlineStr">
        <is>
          <t>Physics GRE</t>
        </is>
      </c>
      <c r="C156" s="4" t="inlineStr">
        <is>
          <t>Optional</t>
        </is>
      </c>
      <c r="D156" s="4" t="inlineStr">
        <is>
          <t>Not required; considered if submitted</t>
        </is>
      </c>
      <c r="E156" s="4" t="inlineStr">
        <is>
          <t>General GRE (Verbal, Quantitative, and Analytical Writing) and Subject GRE (Physics) test scores are not required for applications.</t>
        </is>
      </c>
      <c r="F156" s="4" t="inlineStr">
        <is>
          <t>https://artsci.tamu.edu/physics-astronomy/academics/prospective-graduates/how-to-apply.html</t>
        </is>
      </c>
      <c r="G156" s="4" t="inlineStr"/>
      <c r="H156" s="4" t="inlineStr">
        <is>
          <t>2026-10-21</t>
        </is>
      </c>
    </row>
    <row r="157">
      <c r="A157" s="4" t="inlineStr">
        <is>
          <t>Texas A&amp;M University</t>
        </is>
      </c>
      <c r="B157" s="4" t="inlineStr">
        <is>
          <t>TOEFL minimum</t>
        </is>
      </c>
      <c r="C157" s="4" t="inlineStr">
        <is>
          <t>Not stated</t>
        </is>
      </c>
      <c r="D157" s="4" t="inlineStr">
        <is>
          <t>Cutoffs on the Graduate School ELP page (not checked)</t>
        </is>
      </c>
      <c r="E157" s="4" t="inlineStr">
        <is>
          <t>What is the cutoff score for English Language Proficiency? You can find more information at https://grad.tamu.edu/academics/academic-success-resources/elp.</t>
        </is>
      </c>
      <c r="F157" s="4" t="inlineStr">
        <is>
          <t>https://artsci.tamu.edu/physics-astronomy/academics/prospective-graduates/faqs.html</t>
        </is>
      </c>
      <c r="G157" s="4" t="inlineStr"/>
      <c r="H157" s="4" t="inlineStr">
        <is>
          <t>2026-10-21</t>
        </is>
      </c>
    </row>
    <row r="158">
      <c r="A158" s="4" t="inlineStr">
        <is>
          <t>Texas A&amp;M University</t>
        </is>
      </c>
      <c r="B158" s="4" t="inlineStr">
        <is>
          <t>English-test waiver (English-medium degree)</t>
        </is>
      </c>
      <c r="C158" s="4" t="inlineStr">
        <is>
          <t>Not stated</t>
        </is>
      </c>
      <c r="D158" s="4" t="inlineStr">
        <is>
          <t>Not stated on the pages checked</t>
        </is>
      </c>
      <c r="E158" s="4" t="inlineStr">
        <is>
          <t>(no statement found)</t>
        </is>
      </c>
      <c r="F158" s="4" t="inlineStr">
        <is>
          <t>https://artsci.tamu.edu/physics-astronomy/academics/prospective-graduates/faqs.html</t>
        </is>
      </c>
      <c r="G158" s="4" t="inlineStr"/>
      <c r="H158" s="4" t="inlineStr">
        <is>
          <t>2026-10-21</t>
        </is>
      </c>
    </row>
    <row r="159">
      <c r="A159" s="4" t="inlineStr">
        <is>
          <t>Texas A&amp;M University</t>
        </is>
      </c>
      <c r="B159" s="4" t="inlineStr">
        <is>
          <t>Supervisor before admission</t>
        </is>
      </c>
      <c r="C159" s="4" t="inlineStr">
        <is>
          <t>Not stated</t>
        </is>
      </c>
      <c r="D159" s="4" t="inlineStr">
        <is>
          <t>No pre-application supervisor requirement mentioned</t>
        </is>
      </c>
      <c r="E159" s="4" t="inlineStr">
        <is>
          <t>(no statement found)</t>
        </is>
      </c>
      <c r="F159" s="4" t="inlineStr">
        <is>
          <t>https://artsci.tamu.edu/physics-astronomy/academics/prospective-graduates/how-to-apply.html</t>
        </is>
      </c>
      <c r="G159" s="4" t="inlineStr"/>
      <c r="H159" s="4" t="inlineStr">
        <is>
          <t>2026-10-21</t>
        </is>
      </c>
    </row>
    <row r="160">
      <c r="A160" s="4" t="inlineStr">
        <is>
          <t>Texas A&amp;M University</t>
        </is>
      </c>
      <c r="B160" s="4" t="inlineStr">
        <is>
          <t>PhD funding</t>
        </is>
      </c>
      <c r="C160" s="4" t="inlineStr">
        <is>
          <t>Not stated</t>
        </is>
      </c>
      <c r="D160" s="4" t="inlineStr">
        <is>
          <t>Not stated on the pages checked</t>
        </is>
      </c>
      <c r="E160" s="4" t="inlineStr">
        <is>
          <t>(no statement found)</t>
        </is>
      </c>
      <c r="F160" s="4" t="inlineStr">
        <is>
          <t>https://artsci.tamu.edu/physics-astronomy/academics/prospective-graduates/how-to-apply.html</t>
        </is>
      </c>
      <c r="G160" s="4" t="inlineStr"/>
      <c r="H160" s="4" t="inlineStr">
        <is>
          <t>2026-10-21</t>
        </is>
      </c>
    </row>
    <row r="161">
      <c r="A161" s="4" t="inlineStr">
        <is>
          <t>Texas A&amp;M University</t>
        </is>
      </c>
      <c r="B161" s="4" t="inlineStr">
        <is>
          <t>Entry route</t>
        </is>
      </c>
      <c r="C161" s="4" t="inlineStr">
        <is>
          <t>Not stated</t>
        </is>
      </c>
      <c r="D161" s="4" t="inlineStr">
        <is>
          <t>Not stated on the pages checked</t>
        </is>
      </c>
      <c r="E161" s="4" t="inlineStr">
        <is>
          <t>(no statement found)</t>
        </is>
      </c>
      <c r="F161" s="4" t="inlineStr">
        <is>
          <t>https://artsci.tamu.edu/physics-astronomy/academics/prospective-graduates/how-to-apply.html</t>
        </is>
      </c>
      <c r="G161" s="4" t="inlineStr"/>
      <c r="H161" s="4" t="inlineStr">
        <is>
          <t>2026-10-21</t>
        </is>
      </c>
    </row>
    <row r="162">
      <c r="A162" s="4" t="inlineStr">
        <is>
          <t>The Ohio State University</t>
        </is>
      </c>
      <c r="B162" s="4" t="inlineStr">
        <is>
          <t>Deadline (Fall 2027)</t>
        </is>
      </c>
      <c r="C162" s="4" t="inlineStr">
        <is>
          <t>2026-11-30</t>
        </is>
      </c>
      <c r="D162" s="4" t="inlineStr">
        <is>
          <t>Best consideration: November 30 (international) or December 15 (domestic); December 1 for automatic fellowship nomination; late applications until April 14 with much less funding. Years inferred.</t>
        </is>
      </c>
      <c r="E162" s="4" t="inlineStr">
        <is>
          <t>For best consideration, apply by November 30 (international) or December 15 (domestic).</t>
        </is>
      </c>
      <c r="F162" s="4" t="inlineStr">
        <is>
          <t>https://physics.osu.edu/graduate/prospective-students</t>
        </is>
      </c>
      <c r="G162" s="4" t="inlineStr">
        <is>
          <t>year inferred</t>
        </is>
      </c>
      <c r="H162" s="4" t="inlineStr">
        <is>
          <t>2026-10-21</t>
        </is>
      </c>
    </row>
    <row r="163">
      <c r="A163" s="4" t="inlineStr">
        <is>
          <t>The Ohio State University</t>
        </is>
      </c>
      <c r="B163" s="4" t="inlineStr">
        <is>
          <t>Application fee</t>
        </is>
      </c>
      <c r="C163" s="4" t="inlineStr">
        <is>
          <t>70 USD</t>
        </is>
      </c>
      <c r="D163" s="4" t="inlineStr">
        <is>
          <t>USD 70 international (USD 60 U.S.)</t>
        </is>
      </c>
      <c r="E163" s="4" t="inlineStr">
        <is>
          <t>The application fee for the Physics PhD program $60 for U.S. citizens and $70 for international students.</t>
        </is>
      </c>
      <c r="F163" s="4" t="inlineStr">
        <is>
          <t>https://physics.osu.edu/graduate/prospective-students</t>
        </is>
      </c>
      <c r="G163" s="4" t="inlineStr"/>
      <c r="H163" s="4" t="inlineStr">
        <is>
          <t>2026-10-21</t>
        </is>
      </c>
    </row>
    <row r="164">
      <c r="A164" s="4" t="inlineStr">
        <is>
          <t>The Ohio State University</t>
        </is>
      </c>
      <c r="B164" s="4" t="inlineStr">
        <is>
          <t>Intl fee waiver</t>
        </is>
      </c>
      <c r="C164" s="4" t="inlineStr">
        <is>
          <t>Limited</t>
        </is>
      </c>
      <c r="D164" s="4" t="inlineStr">
        <is>
          <t>Extremely limited; same criteria for international and domestic; based on alignment with the department's mission; none for late submissions</t>
        </is>
      </c>
      <c r="E164" s="4" t="inlineStr">
        <is>
          <t>Due to the high volume of requests, fee waivers are extremely limited and are granted only to applicants who demonstrate a strong alignment with the Department of Physics' strategic mission. The criteria and standards for fee waivers are the same for both international and domestic applicants.</t>
        </is>
      </c>
      <c r="F164" s="4" t="inlineStr">
        <is>
          <t>https://physics.osu.edu/graduate/prospective-students</t>
        </is>
      </c>
      <c r="G164" s="4" t="inlineStr"/>
      <c r="H164" s="4" t="inlineStr">
        <is>
          <t>2026-10-21</t>
        </is>
      </c>
    </row>
    <row r="165">
      <c r="A165" s="4" t="inlineStr">
        <is>
          <t>The Ohio State University</t>
        </is>
      </c>
      <c r="B165" s="4" t="inlineStr">
        <is>
          <t>GRE General</t>
        </is>
      </c>
      <c r="C165" s="4" t="inlineStr">
        <is>
          <t>Optional</t>
        </is>
      </c>
      <c r="D165" s="4" t="inlineStr">
        <is>
          <t>Optional; holistic review is blind to whether scores were sent; may be a plus-factor</t>
        </is>
      </c>
      <c r="E165" s="4" t="inlineStr">
        <is>
          <t>General and physics subject GRE scores are optional, with no negative impact on applicants who choose not to submit them.</t>
        </is>
      </c>
      <c r="F165" s="4" t="inlineStr">
        <is>
          <t>https://physics.osu.edu/graduate/prospective-students</t>
        </is>
      </c>
      <c r="G165" s="4" t="inlineStr"/>
      <c r="H165" s="4" t="inlineStr">
        <is>
          <t>2026-10-21</t>
        </is>
      </c>
    </row>
    <row r="166">
      <c r="A166" s="4" t="inlineStr">
        <is>
          <t>The Ohio State University</t>
        </is>
      </c>
      <c r="B166" s="4" t="inlineStr">
        <is>
          <t>Physics GRE</t>
        </is>
      </c>
      <c r="C166" s="4" t="inlineStr">
        <is>
          <t>Optional</t>
        </is>
      </c>
      <c r="D166" s="4" t="inlineStr">
        <is>
          <t>Optional; may be a plus-factor for some research areas after blind initial review</t>
        </is>
      </c>
      <c r="E166" s="4" t="inlineStr">
        <is>
          <t>General and physics subject GRE scores are optional, with no negative impact on applicants who choose not to submit them.</t>
        </is>
      </c>
      <c r="F166" s="4" t="inlineStr">
        <is>
          <t>https://physics.osu.edu/graduate/prospective-students</t>
        </is>
      </c>
      <c r="G166" s="4" t="inlineStr"/>
      <c r="H166" s="4" t="inlineStr">
        <is>
          <t>2026-10-21</t>
        </is>
      </c>
    </row>
    <row r="167">
      <c r="A167" s="4" t="inlineStr">
        <is>
          <t>The Ohio State University</t>
        </is>
      </c>
      <c r="B167" s="4" t="inlineStr">
        <is>
          <t>TOEFL minimum</t>
        </is>
      </c>
      <c r="C167" s="4" t="inlineStr">
        <is>
          <t>Not stated</t>
        </is>
      </c>
      <c r="D167" s="4" t="inlineStr">
        <is>
          <t>Minimum listed on the Graduate School site; TOEFL code 1592; Duolingo and IELTS accepted</t>
        </is>
      </c>
      <c r="E167" s="4" t="inlineStr">
        <is>
          <t>Use ETS institution code 1592 if sending a TOEFL score.</t>
        </is>
      </c>
      <c r="F167" s="4" t="inlineStr">
        <is>
          <t>https://gpadmissions.osu.edu/intl/additional-requirements-to-apply.html</t>
        </is>
      </c>
      <c r="G167" s="4" t="inlineStr"/>
      <c r="H167" s="4" t="inlineStr">
        <is>
          <t>2026-10-21</t>
        </is>
      </c>
    </row>
    <row r="168">
      <c r="A168" s="4" t="inlineStr">
        <is>
          <t>The Ohio State University</t>
        </is>
      </c>
      <c r="B168" s="4" t="inlineStr">
        <is>
          <t>English-test waiver (English-medium degree)</t>
        </is>
      </c>
      <c r="C168" s="4" t="inlineStr">
        <is>
          <t>No</t>
        </is>
      </c>
      <c r="D168" s="4" t="inlineStr">
        <is>
          <t>Exempt only by citizenship of, or a bachelor's from, a listed country; English-taught courses alone do not exempt you</t>
        </is>
      </c>
      <c r="E168" s="4" t="inlineStr">
        <is>
          <t>Note: If your courses were taught in English but you do not meet either of the above exceptions, you are still required to submit proof of English proficiency.</t>
        </is>
      </c>
      <c r="F168" s="4" t="inlineStr">
        <is>
          <t>https://gpadmissions.osu.edu/intl/additional-requirements-to-apply.html</t>
        </is>
      </c>
      <c r="G168" s="4" t="inlineStr"/>
      <c r="H168" s="4" t="inlineStr">
        <is>
          <t>2026-10-21</t>
        </is>
      </c>
    </row>
    <row r="169">
      <c r="A169" s="4" t="inlineStr">
        <is>
          <t>The Ohio State University</t>
        </is>
      </c>
      <c r="B169" s="4" t="inlineStr">
        <is>
          <t>Supervisor before admission</t>
        </is>
      </c>
      <c r="C169" s="4" t="inlineStr">
        <is>
          <t>Not stated</t>
        </is>
      </c>
      <c r="D169" s="4" t="inlineStr">
        <is>
          <t>No pre-application supervisor requirement mentioned</t>
        </is>
      </c>
      <c r="E169" s="4" t="inlineStr">
        <is>
          <t>(no statement found)</t>
        </is>
      </c>
      <c r="F169" s="4" t="inlineStr">
        <is>
          <t>https://physics.osu.edu/graduate/prospective-students</t>
        </is>
      </c>
      <c r="G169" s="4" t="inlineStr"/>
      <c r="H169" s="4" t="inlineStr">
        <is>
          <t>2026-10-21</t>
        </is>
      </c>
    </row>
    <row r="170">
      <c r="A170" s="4" t="inlineStr">
        <is>
          <t>The Ohio State University</t>
        </is>
      </c>
      <c r="B170" s="4" t="inlineStr">
        <is>
          <t>PhD funding</t>
        </is>
      </c>
      <c r="C170" s="4" t="inlineStr">
        <is>
          <t>Typical</t>
        </is>
      </c>
      <c r="D170" s="4" t="inlineStr">
        <is>
          <t>TA/RA appointments include a monthly stipend and full tuition and general-fee waiver; RA stipend equals TA stipend</t>
        </is>
      </c>
      <c r="E170" s="4" t="inlineStr">
        <is>
          <t>These appointments include a monthly stipend and a full waiver of tuition and general fees.</t>
        </is>
      </c>
      <c r="F170" s="4" t="inlineStr">
        <is>
          <t>https://physics.osu.edu/graduate/prospective-students</t>
        </is>
      </c>
      <c r="G170" s="4" t="inlineStr"/>
      <c r="H170" s="4" t="inlineStr">
        <is>
          <t>2026-10-21</t>
        </is>
      </c>
    </row>
    <row r="171">
      <c r="A171" s="4" t="inlineStr">
        <is>
          <t>The Ohio State University</t>
        </is>
      </c>
      <c r="B171" s="4" t="inlineStr">
        <is>
          <t>Entry route</t>
        </is>
      </c>
      <c r="C171" s="4" t="inlineStr">
        <is>
          <t>Direct from bachelor's</t>
        </is>
      </c>
      <c r="D171" s="4" t="inlineStr">
        <is>
          <t>A master's is not required; four-year degree with a 3.0 GPA</t>
        </is>
      </c>
      <c r="E171" s="4" t="inlineStr">
        <is>
          <t>A master's degree is not required for consideration into the PhD program.</t>
        </is>
      </c>
      <c r="F171" s="4" t="inlineStr">
        <is>
          <t>https://physics.osu.edu/graduate/prospective-students</t>
        </is>
      </c>
      <c r="G171" s="4" t="inlineStr"/>
      <c r="H171" s="4" t="inlineStr">
        <is>
          <t>2026-10-21</t>
        </is>
      </c>
    </row>
    <row r="172">
      <c r="A172" s="4" t="inlineStr">
        <is>
          <t>University of Alberta</t>
        </is>
      </c>
      <c r="B172" s="4" t="inlineStr">
        <is>
          <t>Deadline (Fall 2027)</t>
        </is>
      </c>
      <c r="C172" s="4" t="inlineStr">
        <is>
          <t>2026-12-01</t>
        </is>
      </c>
      <c r="D172" s="4" t="inlineStr">
        <is>
          <t>December 1 first-round deadline (widest scholarship consideration); January 8 second round; March 31 final date for Fall intake. Years inferred for Fall 2027.</t>
        </is>
      </c>
      <c r="E172" s="4" t="inlineStr">
        <is>
          <t>December 1: initial first round application deadline. Applications that are received and complete by this date will be considered for the widest range of scholarships, as well as the standard graduate assistantships. | March 31 is the last date to submit an application for graduate admission in Physics for the Fall intake.</t>
        </is>
      </c>
      <c r="F172" s="4" t="inlineStr">
        <is>
          <t>https://www.ualberta.ca/en/physics/graduate-studies/information-for-prospective-students-and-applicants/deadlines.html</t>
        </is>
      </c>
      <c r="G172" s="4" t="inlineStr">
        <is>
          <t>year inferred</t>
        </is>
      </c>
      <c r="H172" s="4" t="inlineStr">
        <is>
          <t>2026-10-21</t>
        </is>
      </c>
    </row>
    <row r="173">
      <c r="A173" s="4" t="inlineStr">
        <is>
          <t>University of Alberta</t>
        </is>
      </c>
      <c r="B173" s="4" t="inlineStr">
        <is>
          <t>Application fee</t>
        </is>
      </c>
      <c r="C173" s="4" t="inlineStr">
        <is>
          <t>Not stated</t>
        </is>
      </c>
      <c r="D173" s="4" t="inlineStr">
        <is>
          <t>Fee amount not shown on the department pages checked (pay in the FGPS portal)</t>
        </is>
      </c>
      <c r="E173" s="4" t="inlineStr">
        <is>
          <t>(no statement found)</t>
        </is>
      </c>
      <c r="F173" s="4" t="inlineStr">
        <is>
          <t>https://www.ualberta.ca/en/graduate-studies/admissions-programs/apply/index.html</t>
        </is>
      </c>
      <c r="G173" s="4" t="inlineStr"/>
      <c r="H173" s="4" t="inlineStr">
        <is>
          <t>2026-10-21</t>
        </is>
      </c>
    </row>
    <row r="174">
      <c r="A174" s="4" t="inlineStr">
        <is>
          <t>University of Alberta</t>
        </is>
      </c>
      <c r="B174" s="4" t="inlineStr">
        <is>
          <t>Intl fee waiver</t>
        </is>
      </c>
      <c r="C174" s="4" t="inlineStr">
        <is>
          <t>None</t>
        </is>
      </c>
      <c r="D174" s="4" t="inlineStr">
        <is>
          <t>Department says the fee cannot be waived</t>
        </is>
      </c>
      <c r="E174" s="4" t="inlineStr">
        <is>
          <t>Will you waive the application fee? No. The fee is required, it cannot be waived.</t>
        </is>
      </c>
      <c r="F174" s="4" t="inlineStr">
        <is>
          <t>https://www.ualberta.ca/en/physics/graduate-studies/information-for-prospective-students-and-applicants/how-to-apply-faq.html</t>
        </is>
      </c>
      <c r="G174" s="4" t="inlineStr"/>
      <c r="H174" s="4" t="inlineStr">
        <is>
          <t>2026-10-21</t>
        </is>
      </c>
    </row>
    <row r="175">
      <c r="A175" s="4" t="inlineStr">
        <is>
          <t>University of Alberta</t>
        </is>
      </c>
      <c r="B175" s="4" t="inlineStr">
        <is>
          <t>GRE General</t>
        </is>
      </c>
      <c r="C175" s="4" t="inlineStr">
        <is>
          <t>Not stated</t>
        </is>
      </c>
      <c r="D175" s="4" t="inlineStr">
        <is>
          <t>No GRE requirement listed for Physics on the pages checked</t>
        </is>
      </c>
      <c r="E175" s="4" t="inlineStr">
        <is>
          <t>(no statement found)</t>
        </is>
      </c>
      <c r="F175" s="4" t="inlineStr">
        <is>
          <t>https://www.ualberta.ca/en/physics/graduate-studies/information-for-prospective-students-and-applicants/admission-requirements.html</t>
        </is>
      </c>
      <c r="G175" s="4" t="inlineStr"/>
      <c r="H175" s="4" t="inlineStr">
        <is>
          <t>2026-10-21</t>
        </is>
      </c>
    </row>
    <row r="176">
      <c r="A176" s="4" t="inlineStr">
        <is>
          <t>University of Alberta</t>
        </is>
      </c>
      <c r="B176" s="4" t="inlineStr">
        <is>
          <t>Physics GRE</t>
        </is>
      </c>
      <c r="C176" s="4" t="inlineStr">
        <is>
          <t>Not stated</t>
        </is>
      </c>
      <c r="D176" s="4" t="inlineStr">
        <is>
          <t>No GRE requirement listed for Physics on the pages checked</t>
        </is>
      </c>
      <c r="E176" s="4" t="inlineStr">
        <is>
          <t>(no statement found)</t>
        </is>
      </c>
      <c r="F176" s="4" t="inlineStr">
        <is>
          <t>https://www.ualberta.ca/en/physics/graduate-studies/information-for-prospective-students-and-applicants/admission-requirements.html</t>
        </is>
      </c>
      <c r="G176" s="4" t="inlineStr"/>
      <c r="H176" s="4" t="inlineStr">
        <is>
          <t>2026-10-21</t>
        </is>
      </c>
    </row>
    <row r="177">
      <c r="A177" s="4" t="inlineStr">
        <is>
          <t>University of Alberta</t>
        </is>
      </c>
      <c r="B177" s="4" t="inlineStr">
        <is>
          <t>TOEFL minimum</t>
        </is>
      </c>
      <c r="C177" s="4" t="inlineStr">
        <is>
          <t>90</t>
        </is>
      </c>
      <c r="D177" s="4" t="inlineStr">
        <is>
          <t>TOEFL iBT 90 with 21+ on each component; IELTS 6.5 overall with 6.0+ on each band. For tests on/after Jan 21, 2026 only the 1-6 TOEFL scale is considered.</t>
        </is>
      </c>
      <c r="E177" s="4" t="inlineStr">
        <is>
          <t>TOEFL (internet) - 90 overall with a min. of 21 on each component | IELTS (Academic) - 6.5 overall with a min. of 6.0 on each band</t>
        </is>
      </c>
      <c r="F177" s="4" t="inlineStr">
        <is>
          <t>https://www.ualberta.ca/en/physics/graduate-studies/information-for-prospective-students-and-applicants/admission-requirements.html</t>
        </is>
      </c>
      <c r="G177" s="4" t="inlineStr"/>
      <c r="H177" s="4" t="inlineStr">
        <is>
          <t>2026-10-21</t>
        </is>
      </c>
    </row>
    <row r="178">
      <c r="A178" s="4" t="inlineStr">
        <is>
          <t>University of Alberta</t>
        </is>
      </c>
      <c r="B178" s="4" t="inlineStr">
        <is>
          <t>English-test waiver (English-medium degree)</t>
        </is>
      </c>
      <c r="C178" s="4" t="inlineStr">
        <is>
          <t>Conditional</t>
        </is>
      </c>
      <c r="D178" s="4" t="inlineStr">
        <is>
          <t>Exempt only if your country or institution is on the FGPS recognized list. For India it lists e.g. IITs (all campuses), IISc, University of Hyderabad, Jadavpur, NIT Calicut; IISERs are NOT listed. Physics will not waive otherwise.</t>
        </is>
      </c>
      <c r="E178" s="4" t="inlineStr">
        <is>
          <t>India | Aligarh Muslim University | ... | Indian Institute of Science | Indian Institute of Technology (All campuses) | ... | University of Hyderabad  ||  The Department of Physics will not waive the English language proficiency requirement. (https://www.ualberta.ca/en/physics/graduate-studies/information-for-prospective-students-and-applicants/admission-requirements.html)</t>
        </is>
      </c>
      <c r="F178" s="4" t="inlineStr">
        <is>
          <t>https://www.ualberta.ca/en/graduate-studies/admissions-programs/apply/international-academic-requirements/english-language-proficiency/recognized-english-countries-institutions.html</t>
        </is>
      </c>
      <c r="G178" s="4" t="inlineStr"/>
      <c r="H178" s="4" t="inlineStr">
        <is>
          <t>2026-10-21</t>
        </is>
      </c>
    </row>
    <row r="179">
      <c r="A179" s="4" t="inlineStr">
        <is>
          <t>University of Alberta</t>
        </is>
      </c>
      <c r="B179" s="4" t="inlineStr">
        <is>
          <t>Supervisor before admission</t>
        </is>
      </c>
      <c r="C179" s="4" t="inlineStr">
        <is>
          <t>Not stated</t>
        </is>
      </c>
      <c r="D179" s="4" t="inlineStr">
        <is>
          <t>Physics pages do not state a pre-application supervisor requirement; FGPS notes some thesis programs require one</t>
        </is>
      </c>
      <c r="E179" s="4" t="inlineStr">
        <is>
          <t>If you are applying for a thesis-based program, please note that some programs require you to identify and contact a potential supervisor before applying.</t>
        </is>
      </c>
      <c r="F179" s="4" t="inlineStr">
        <is>
          <t>https://www.ualberta.ca/en/graduate-studies/admissions-programs/apply/index.html</t>
        </is>
      </c>
      <c r="G179" s="4" t="inlineStr"/>
      <c r="H179" s="4" t="inlineStr">
        <is>
          <t>2026-10-21</t>
        </is>
      </c>
    </row>
    <row r="180">
      <c r="A180" s="4" t="inlineStr">
        <is>
          <t>University of Alberta</t>
        </is>
      </c>
      <c r="B180" s="4" t="inlineStr">
        <is>
          <t>PhD funding</t>
        </is>
      </c>
      <c r="C180" s="4" t="inlineStr">
        <is>
          <t>Guaranteed</t>
        </is>
      </c>
      <c r="D180" s="4" t="inlineStr">
        <is>
          <t>Minimum CAD 100,000 over years 1-4 and at least CAD 25,000 in year 1 for PhD students (from Fall 2025); department also commits support for normal program duration</t>
        </is>
      </c>
      <c r="E180" s="4" t="inlineStr">
        <is>
          <t>minimum guaranteed funding of $100K CAD over four years and not less than $25K CAD in their first year.</t>
        </is>
      </c>
      <c r="F180" s="4" t="inlineStr">
        <is>
          <t>https://www.ualberta.ca/en/graduate-studies/fees-funding/scholarships-awards/minimum-guaranteed-funding-for-phd-students.html</t>
        </is>
      </c>
      <c r="G180" s="4" t="inlineStr"/>
      <c r="H180" s="4" t="inlineStr">
        <is>
          <t>2026-10-21</t>
        </is>
      </c>
    </row>
    <row r="181">
      <c r="A181" s="4" t="inlineStr">
        <is>
          <t>University of Alberta</t>
        </is>
      </c>
      <c r="B181" s="4" t="inlineStr">
        <is>
          <t>Entry route</t>
        </is>
      </c>
      <c r="C181" s="4" t="inlineStr">
        <is>
          <t>Either</t>
        </is>
      </c>
      <c r="D181" s="4" t="inlineStr">
        <is>
          <t>MSc-equivalent holders normally enter the PhD directly; Honours-BSc entrants to the PhD take extra MSc-level requirements; BSc holders normally start in the MSc and may transfer</t>
        </is>
      </c>
      <c r="E181" s="4" t="inlineStr">
        <is>
          <t>Students who hold a Master of Science degree equivalent to that of a MSc from University of Alberta are normally admitted directly into the PhD program. | Students entering the PhD program with the equivalent of an Honours BSc degree in Physics from University of Alberta are subject to the same requirements plus those of the MSc program</t>
        </is>
      </c>
      <c r="F181" s="4" t="inlineStr">
        <is>
          <t>https://www.ualberta.ca/en/physics/graduate-studies/information-for-prospective-students-and-applicants/programs.html</t>
        </is>
      </c>
      <c r="G181" s="4" t="inlineStr"/>
      <c r="H181" s="4" t="inlineStr">
        <is>
          <t>2026-10-21</t>
        </is>
      </c>
    </row>
    <row r="182">
      <c r="A182" s="4" t="inlineStr">
        <is>
          <t>University of British Columbia (Vancouver)</t>
        </is>
      </c>
      <c r="B182" s="4" t="inlineStr">
        <is>
          <t>Deadline (Fall 2027)</t>
        </is>
      </c>
      <c r="C182" s="4" t="inlineStr">
        <is>
          <t>2026-12-01</t>
        </is>
      </c>
      <c r="D182" s="4" t="inlineStr">
        <is>
          <t>1 December 2026 for September 2027 intake</t>
        </is>
      </c>
      <c r="E182" s="4" t="inlineStr">
        <is>
          <t>September 2027 | Application Deadline1 December 2026</t>
        </is>
      </c>
      <c r="F182" s="4" t="inlineStr">
        <is>
          <t>https://www.grad.ubc.ca/prospective-students/graduate-degree-programs/phd-physics</t>
        </is>
      </c>
      <c r="G182" s="4" t="inlineStr"/>
      <c r="H182" s="4" t="inlineStr">
        <is>
          <t>2026-10-21</t>
        </is>
      </c>
    </row>
    <row r="183">
      <c r="A183" s="4" t="inlineStr">
        <is>
          <t>University of British Columbia (Vancouver)</t>
        </is>
      </c>
      <c r="B183" s="4" t="inlineStr">
        <is>
          <t>Application fee</t>
        </is>
      </c>
      <c r="C183" s="4" t="inlineStr">
        <is>
          <t>168.25 CAD</t>
        </is>
      </c>
      <c r="D183" s="4" t="inlineStr">
        <is>
          <t>International applicants CAD 168.25 (Canadians CAD 118.50) for Sept 2026-Aug 2027 applications</t>
        </is>
      </c>
      <c r="E183" s="4" t="inlineStr">
        <is>
          <t>September 2026 to August 2027: | Canadians (and Permanent Residents, Refugees, Diplomats): (CDN) $118.5 | International Applicants: (CDN) $168.25</t>
        </is>
      </c>
      <c r="F183" s="4" t="inlineStr">
        <is>
          <t>https://www.grad.ubc.ca/prospective-students/application-admission/online-application-fee</t>
        </is>
      </c>
      <c r="G183" s="4" t="inlineStr"/>
      <c r="H183" s="4" t="inlineStr">
        <is>
          <t>2026-10-21</t>
        </is>
      </c>
    </row>
    <row r="184">
      <c r="A184" s="4" t="inlineStr">
        <is>
          <t>University of British Columbia (Vancouver)</t>
        </is>
      </c>
      <c r="B184" s="4" t="inlineStr">
        <is>
          <t>Intl fee waiver</t>
        </is>
      </c>
      <c r="C184" s="4" t="inlineStr">
        <is>
          <t>Limited</t>
        </is>
      </c>
      <c r="D184" s="4" t="inlineStr">
        <is>
          <t>Automatic waiver only for citizens AND residents of the UN's 50 least developed countries (India is not on that list)</t>
        </is>
      </c>
      <c r="E184" s="4" t="inlineStr">
        <is>
          <t>For international applicants whose citizenship and correspondence address is located in one of the world's 50 least developed countries, as declared by the United Nations.</t>
        </is>
      </c>
      <c r="F184" s="4" t="inlineStr">
        <is>
          <t>https://www.grad.ubc.ca/prospective-students/application-admission/online-application-fee</t>
        </is>
      </c>
      <c r="G184" s="4" t="inlineStr"/>
      <c r="H184" s="4" t="inlineStr">
        <is>
          <t>2026-10-21</t>
        </is>
      </c>
    </row>
    <row r="185">
      <c r="A185" s="4" t="inlineStr">
        <is>
          <t>University of British Columbia (Vancouver)</t>
        </is>
      </c>
      <c r="B185" s="4" t="inlineStr">
        <is>
          <t>GRE General</t>
        </is>
      </c>
      <c r="C185" s="4" t="inlineStr">
        <is>
          <t>Not required</t>
        </is>
      </c>
      <c r="D185" s="4" t="inlineStr">
        <is>
          <t>GRE not required</t>
        </is>
      </c>
      <c r="E185" s="4" t="inlineStr">
        <is>
          <t>The requirements for this program are: The GRE is not required.</t>
        </is>
      </c>
      <c r="F185" s="4" t="inlineStr">
        <is>
          <t>https://www.grad.ubc.ca/prospective-students/graduate-degree-programs/phd-physics</t>
        </is>
      </c>
      <c r="G185" s="4" t="inlineStr"/>
      <c r="H185" s="4" t="inlineStr">
        <is>
          <t>2026-10-21</t>
        </is>
      </c>
    </row>
    <row r="186">
      <c r="A186" s="4" t="inlineStr">
        <is>
          <t>University of British Columbia (Vancouver)</t>
        </is>
      </c>
      <c r="B186" s="4" t="inlineStr">
        <is>
          <t>Physics GRE</t>
        </is>
      </c>
      <c r="C186" s="4" t="inlineStr">
        <is>
          <t>Not required</t>
        </is>
      </c>
      <c r="D186" s="4" t="inlineStr">
        <is>
          <t>GRE not required (no subject-test requirement listed)</t>
        </is>
      </c>
      <c r="E186" s="4" t="inlineStr">
        <is>
          <t>The GRE is not required.</t>
        </is>
      </c>
      <c r="F186" s="4" t="inlineStr">
        <is>
          <t>https://www.grad.ubc.ca/prospective-students/graduate-degree-programs/phd-physics</t>
        </is>
      </c>
      <c r="G186" s="4" t="inlineStr"/>
      <c r="H186" s="4" t="inlineStr">
        <is>
          <t>2026-10-21</t>
        </is>
      </c>
    </row>
    <row r="187">
      <c r="A187" s="4" t="inlineStr">
        <is>
          <t>University of British Columbia (Vancouver)</t>
        </is>
      </c>
      <c r="B187" s="4" t="inlineStr">
        <is>
          <t>TOEFL minimum</t>
        </is>
      </c>
      <c r="C187" s="4" t="inlineStr">
        <is>
          <t>90</t>
        </is>
      </c>
      <c r="D187" s="4" t="inlineStr">
        <is>
          <t>TOEFL 90 (old 120-point scale) or 4.5 (new 6-point scale from Jan 21, 2026); IELTS 6.5; scores must be under 24 months old</t>
        </is>
      </c>
      <c r="E187" s="4" t="inlineStr">
        <is>
          <t>120-point scale for tests taken prior to Jan 21, 2026 | Overall score requirement: 90 | 6-point scale for tests taken as of Jan 21, 2026 | Overall score requirement: 4.5</t>
        </is>
      </c>
      <c r="F187" s="4" t="inlineStr">
        <is>
          <t>https://www.grad.ubc.ca/prospective-students/graduate-degree-programs/phd-physics</t>
        </is>
      </c>
      <c r="G187" s="4" t="inlineStr"/>
      <c r="H187" s="4" t="inlineStr">
        <is>
          <t>2026-10-21</t>
        </is>
      </c>
    </row>
    <row r="188">
      <c r="A188" s="4" t="inlineStr">
        <is>
          <t>University of British Columbia (Vancouver)</t>
        </is>
      </c>
      <c r="B188" s="4" t="inlineStr">
        <is>
          <t>English-test waiver (English-medium degree)</t>
        </is>
      </c>
      <c r="C188" s="4" t="inlineStr">
        <is>
          <t>Yes</t>
        </is>
      </c>
      <c r="D188" s="4" t="inlineStr">
        <is>
          <t>Test required only if your university's primary language of instruction is not English (confirm with the program for your institution)</t>
        </is>
      </c>
      <c r="E188" s="4" t="inlineStr">
        <is>
          <t>Applicants from a university outside Canada in which English is not the primary language of instruction must provide results of an English language proficiency examination as part of their application.</t>
        </is>
      </c>
      <c r="F188" s="4" t="inlineStr">
        <is>
          <t>https://www.grad.ubc.ca/prospective-students/application-admission/english-language-test</t>
        </is>
      </c>
      <c r="G188" s="4" t="inlineStr"/>
      <c r="H188" s="4" t="inlineStr">
        <is>
          <t>2026-10-21</t>
        </is>
      </c>
    </row>
    <row r="189">
      <c r="A189" s="4" t="inlineStr">
        <is>
          <t>University of British Columbia (Vancouver)</t>
        </is>
      </c>
      <c r="B189" s="4" t="inlineStr">
        <is>
          <t>Supervisor before admission</t>
        </is>
      </c>
      <c r="C189" s="4" t="inlineStr">
        <is>
          <t>Not required</t>
        </is>
      </c>
      <c r="D189" s="4" t="inlineStr">
        <is>
          <t>Name faculty of interest in the application; no prior commitment needed, but contacting faculty is encouraged</t>
        </is>
      </c>
      <c r="E189" s="4" t="inlineStr">
        <is>
          <t>No commitment from a supervisor prior to applying is necessary, but contacting faculty members is encouraged.</t>
        </is>
      </c>
      <c r="F189" s="4" t="inlineStr">
        <is>
          <t>https://www.grad.ubc.ca/prospective-students/graduate-degree-programs/phd-physics</t>
        </is>
      </c>
      <c r="G189" s="4" t="inlineStr"/>
      <c r="H189" s="4" t="inlineStr">
        <is>
          <t>2026-10-21</t>
        </is>
      </c>
    </row>
    <row r="190">
      <c r="A190" s="4" t="inlineStr">
        <is>
          <t>University of British Columbia (Vancouver)</t>
        </is>
      </c>
      <c r="B190" s="4" t="inlineStr">
        <is>
          <t>PhD funding</t>
        </is>
      </c>
      <c r="C190" s="4" t="inlineStr">
        <is>
          <t>Guaranteed</t>
        </is>
      </c>
      <c r="D190" s="4" t="inlineStr">
        <is>
          <t>At least CAD 40,000/year for each of the first four PhD years (from September 2026)</t>
        </is>
      </c>
      <c r="E190" s="4" t="inlineStr">
        <is>
          <t>All full-time students in UBC-Vancouver PhD programs will be provided with a funding package of at least $40,000 for each of the first four years of their PhD from September 2026.</t>
        </is>
      </c>
      <c r="F190" s="4" t="inlineStr">
        <is>
          <t>https://www.grad.ubc.ca/prospective-students/graduate-degree-programs/phd-physics</t>
        </is>
      </c>
      <c r="G190" s="4" t="inlineStr"/>
      <c r="H190" s="4" t="inlineStr">
        <is>
          <t>2026-10-21</t>
        </is>
      </c>
    </row>
    <row r="191">
      <c r="A191" s="4" t="inlineStr">
        <is>
          <t>University of British Columbia (Vancouver)</t>
        </is>
      </c>
      <c r="B191" s="4" t="inlineStr">
        <is>
          <t>Entry route</t>
        </is>
      </c>
      <c r="C191" s="4" t="inlineStr">
        <is>
          <t>Master's usually required</t>
        </is>
      </c>
      <c r="D191" s="4" t="inlineStr">
        <is>
          <t>PhD normally after an MSc/MASc; strong MSc students can transfer after a year at UBC</t>
        </is>
      </c>
      <c r="E191" s="4" t="inlineStr">
        <is>
          <t>Students are normally admitted to the Ph.D. program after obtaining an M.Sc. or M.A.Sc. and meeting the admission requirements set by the Faculty of Graduate and Postdoctoral Studies.</t>
        </is>
      </c>
      <c r="F191" s="4" t="inlineStr">
        <is>
          <t>https://vancouver.calendar.ubc.ca/faculties-colleges-and-schools/faculty-graduate-and-postdoctoral-studies/degree-programs/physics</t>
        </is>
      </c>
      <c r="G191" s="4" t="inlineStr"/>
      <c r="H191" s="4" t="inlineStr">
        <is>
          <t>2026-10-21</t>
        </is>
      </c>
    </row>
    <row r="192">
      <c r="A192" s="4" t="inlineStr">
        <is>
          <t>University of Calgary</t>
        </is>
      </c>
      <c r="B192" s="4" t="inlineStr">
        <is>
          <t>Deadline (Fall 2027)</t>
        </is>
      </c>
      <c r="C192" s="4" t="inlineStr">
        <is>
          <t>2027-01-15</t>
        </is>
      </c>
      <c r="D192" s="4" t="inlineStr">
        <is>
          <t>January 15 for September admission (Canadian and international); system closes that day. Year inferred.</t>
        </is>
      </c>
      <c r="E192" s="4" t="inlineStr">
        <is>
          <t>International students: Jan. 15 application deadline</t>
        </is>
      </c>
      <c r="F192" s="4" t="inlineStr">
        <is>
          <t>https://grad.ucalgary.ca/future-students/graduate/discover-opportunities/explore-programs/physics-and-astronomy-phd</t>
        </is>
      </c>
      <c r="G192" s="4" t="inlineStr">
        <is>
          <t>year inferred</t>
        </is>
      </c>
      <c r="H192" s="4" t="inlineStr">
        <is>
          <t>2026-10-21</t>
        </is>
      </c>
    </row>
    <row r="193">
      <c r="A193" s="4" t="inlineStr">
        <is>
          <t>University of Calgary</t>
        </is>
      </c>
      <c r="B193" s="4" t="inlineStr">
        <is>
          <t>Application fee</t>
        </is>
      </c>
      <c r="C193" s="4" t="inlineStr">
        <is>
          <t>Not stated</t>
        </is>
      </c>
      <c r="D193" s="4" t="inlineStr">
        <is>
          <t>Amount not shown on the pages checked</t>
        </is>
      </c>
      <c r="E193" s="4" t="inlineStr">
        <is>
          <t>(no statement found)</t>
        </is>
      </c>
      <c r="F193" s="4" t="inlineStr">
        <is>
          <t>https://grad.ucalgary.ca/future-students/graduate/discover-opportunities/explore-programs/physics-and-astronomy-phd</t>
        </is>
      </c>
      <c r="G193" s="4" t="inlineStr"/>
      <c r="H193" s="4" t="inlineStr">
        <is>
          <t>2026-10-21</t>
        </is>
      </c>
    </row>
    <row r="194">
      <c r="A194" s="4" t="inlineStr">
        <is>
          <t>University of Calgary</t>
        </is>
      </c>
      <c r="B194" s="4" t="inlineStr">
        <is>
          <t>Intl fee waiver</t>
        </is>
      </c>
      <c r="C194" s="4" t="inlineStr">
        <is>
          <t>None</t>
        </is>
      </c>
      <c r="D194" s="4" t="inlineStr">
        <is>
          <t>No fee-waiver program</t>
        </is>
      </c>
      <c r="E194" s="4" t="inlineStr">
        <is>
          <t>We do not have a program to waive the application fee.</t>
        </is>
      </c>
      <c r="F194" s="4" t="inlineStr">
        <is>
          <t>https://science.ucalgary.ca/physics-astronomy/future-students/graduate/application-faqs</t>
        </is>
      </c>
      <c r="G194" s="4" t="inlineStr"/>
      <c r="H194" s="4" t="inlineStr">
        <is>
          <t>2026-10-21</t>
        </is>
      </c>
    </row>
    <row r="195">
      <c r="A195" s="4" t="inlineStr">
        <is>
          <t>University of Calgary</t>
        </is>
      </c>
      <c r="B195" s="4" t="inlineStr">
        <is>
          <t>GRE General</t>
        </is>
      </c>
      <c r="C195" s="4" t="inlineStr">
        <is>
          <t>Not stated</t>
        </is>
      </c>
      <c r="D195" s="4" t="inlineStr">
        <is>
          <t>Only the Physics subject GRE is mentioned</t>
        </is>
      </c>
      <c r="E195" s="4" t="inlineStr">
        <is>
          <t>(no statement found)</t>
        </is>
      </c>
      <c r="F195" s="4" t="inlineStr">
        <is>
          <t>https://grad.ucalgary.ca/future-students/graduate/discover-opportunities/explore-programs/physics-and-astronomy-phd</t>
        </is>
      </c>
      <c r="G195" s="4" t="inlineStr"/>
      <c r="H195" s="4" t="inlineStr">
        <is>
          <t>2026-10-21</t>
        </is>
      </c>
    </row>
    <row r="196">
      <c r="A196" s="4" t="inlineStr">
        <is>
          <t>University of Calgary</t>
        </is>
      </c>
      <c r="B196" s="4" t="inlineStr">
        <is>
          <t>Physics GRE</t>
        </is>
      </c>
      <c r="C196" s="4" t="inlineStr">
        <is>
          <t>Required</t>
        </is>
      </c>
      <c r="D196" s="4" t="inlineStr">
        <is>
          <t>REQUIRED for all foreign applicants</t>
        </is>
      </c>
      <c r="E196" s="4" t="inlineStr">
        <is>
          <t>All foreign applicants must submit Graduate Record Examination (GRE) Physics subject score</t>
        </is>
      </c>
      <c r="F196" s="4" t="inlineStr">
        <is>
          <t>https://grad.ucalgary.ca/future-students/graduate/discover-opportunities/explore-programs/physics-and-astronomy-phd</t>
        </is>
      </c>
      <c r="G196" s="4" t="inlineStr">
        <is>
          <t>international applicants</t>
        </is>
      </c>
      <c r="H196" s="4" t="inlineStr">
        <is>
          <t>2026-10-21</t>
        </is>
      </c>
    </row>
    <row r="197">
      <c r="A197" s="4" t="inlineStr">
        <is>
          <t>University of Calgary</t>
        </is>
      </c>
      <c r="B197" s="4" t="inlineStr">
        <is>
          <t>TOEFL minimum</t>
        </is>
      </c>
      <c r="C197" s="4" t="inlineStr">
        <is>
          <t>Not stated</t>
        </is>
      </c>
      <c r="D197" s="4" t="inlineStr">
        <is>
          <t>Faculty of Science ELP rules in the Academic Calendar; minimum not shown on the pages checked</t>
        </is>
      </c>
      <c r="E197" s="4" t="inlineStr">
        <is>
          <t>For accepted criteria, please refer to the “Faculty of Science English Language Proficiency (ELP) Requirements” page in the Academic Calendar.</t>
        </is>
      </c>
      <c r="F197" s="4" t="inlineStr">
        <is>
          <t>https://grad.ucalgary.ca/future-students/graduate/discover-opportunities/explore-programs/physics-and-astronomy-phd</t>
        </is>
      </c>
      <c r="G197" s="4" t="inlineStr"/>
      <c r="H197" s="4" t="inlineStr">
        <is>
          <t>2026-10-21</t>
        </is>
      </c>
    </row>
    <row r="198">
      <c r="A198" s="4" t="inlineStr">
        <is>
          <t>University of Calgary</t>
        </is>
      </c>
      <c r="B198" s="4" t="inlineStr">
        <is>
          <t>English-test waiver (English-medium degree)</t>
        </is>
      </c>
      <c r="C198" s="4" t="inlineStr">
        <is>
          <t>No</t>
        </is>
      </c>
      <c r="D198" s="4" t="inlineStr">
        <is>
          <t>Test required if your degree is from a country where English is not a native language (English-taught courses alone do not exempt you)</t>
        </is>
      </c>
      <c r="E198" s="4" t="inlineStr">
        <is>
          <t>English Proficiency Test is required from all applicants if their degrees are granted from institutions of countries where English is not a native language.</t>
        </is>
      </c>
      <c r="F198" s="4" t="inlineStr">
        <is>
          <t>https://science.ucalgary.ca/physics-astronomy/future-students/graduate/application-faqs</t>
        </is>
      </c>
      <c r="G198" s="4" t="inlineStr"/>
      <c r="H198" s="4" t="inlineStr">
        <is>
          <t>2026-10-21</t>
        </is>
      </c>
    </row>
    <row r="199">
      <c r="A199" s="4" t="inlineStr">
        <is>
          <t>University of Calgary</t>
        </is>
      </c>
      <c r="B199" s="4" t="inlineStr">
        <is>
          <t>Supervisor before admission</t>
        </is>
      </c>
      <c r="C199" s="4" t="inlineStr">
        <is>
          <t>Required</t>
        </is>
      </c>
      <c r="D199" s="4" t="inlineStr">
        <is>
          <t>No supervisor needed to apply, but you are admitted only if at least one potential supervisor will fund you; contacting faculty first helps</t>
        </is>
      </c>
      <c r="E199" s="4" t="inlineStr">
        <is>
          <t>Do I have to find a supervisor before I apply? No. However, contacting faculty members before applying may increase your chances of admission. We only admit students where there is at least one potential supervisor willing to provide funding.</t>
        </is>
      </c>
      <c r="F199" s="4" t="inlineStr">
        <is>
          <t>https://science.ucalgary.ca/physics-astronomy/future-students/graduate/application-faqs</t>
        </is>
      </c>
      <c r="G199" s="4" t="inlineStr"/>
      <c r="H199" s="4" t="inlineStr">
        <is>
          <t>2026-10-21</t>
        </is>
      </c>
    </row>
    <row r="200">
      <c r="A200" s="4" t="inlineStr">
        <is>
          <t>University of Calgary</t>
        </is>
      </c>
      <c r="B200" s="4" t="inlineStr">
        <is>
          <t>PhD funding</t>
        </is>
      </c>
      <c r="C200" s="4" t="inlineStr">
        <is>
          <t>Guaranteed</t>
        </is>
      </c>
      <c r="D200" s="4" t="inlineStr">
        <is>
          <t>All admitted full-time thesis students are funded (tuition still payable)</t>
        </is>
      </c>
      <c r="E200" s="4" t="inlineStr">
        <is>
          <t>All admitted full-time thesis-based students (except those who are sponsored by a company, an institution or a government) will be funded.</t>
        </is>
      </c>
      <c r="F200" s="4" t="inlineStr">
        <is>
          <t>https://science.ucalgary.ca/physics-astronomy/future-students/graduate/application-faqs</t>
        </is>
      </c>
      <c r="G200" s="4" t="inlineStr"/>
      <c r="H200" s="4" t="inlineStr">
        <is>
          <t>2026-10-21</t>
        </is>
      </c>
    </row>
    <row r="201">
      <c r="A201" s="4" t="inlineStr">
        <is>
          <t>University of Calgary</t>
        </is>
      </c>
      <c r="B201" s="4" t="inlineStr">
        <is>
          <t>Entry route</t>
        </is>
      </c>
      <c r="C201" s="4" t="inlineStr">
        <is>
          <t>Not stated</t>
        </is>
      </c>
      <c r="D201" s="4" t="inlineStr">
        <is>
          <t>PhD entry rules not stated; note a 3-year BSc needs an MSc before any graduate admission</t>
        </is>
      </c>
      <c r="E201" s="4" t="inlineStr">
        <is>
          <t>With a 3-year B.Sc. degree, we also require a M.Sc. degree if you want to apply for our graduate program.</t>
        </is>
      </c>
      <c r="F201" s="4" t="inlineStr">
        <is>
          <t>https://science.ucalgary.ca/physics-astronomy/future-students/graduate/application-faqs</t>
        </is>
      </c>
      <c r="G201" s="4" t="inlineStr"/>
      <c r="H201" s="4" t="inlineStr">
        <is>
          <t>2026-10-21</t>
        </is>
      </c>
    </row>
    <row r="202">
      <c r="A202" s="4" t="inlineStr">
        <is>
          <t>University of California, Berkeley</t>
        </is>
      </c>
      <c r="B202" s="4" t="inlineStr">
        <is>
          <t>Deadline (Fall 2027)</t>
        </is>
      </c>
      <c r="C202" s="4" t="inlineStr">
        <is>
          <t>2026-12-15</t>
        </is>
      </c>
      <c r="D202" s="4" t="inlineStr">
        <is>
          <t>December 15, 2026, 8:59 PM Pacific for Fall 2027; application should be complete incl. letters</t>
        </is>
      </c>
      <c r="E202" s="4" t="inlineStr">
        <is>
          <t>The application deadline for Fall 2027 admission to the Berkeley Physics Ph.D. program is: December 15 2026, at 8:59 PM (Pacific Standard Time)/11:59 PM (Eastern Standard Time)</t>
        </is>
      </c>
      <c r="F202" s="4" t="inlineStr">
        <is>
          <t>https://physics.berkeley.edu/academic/graduate-degree/graduate-admissions</t>
        </is>
      </c>
      <c r="G202" s="4" t="inlineStr"/>
      <c r="H202" s="4" t="inlineStr">
        <is>
          <t>2026-10-21</t>
        </is>
      </c>
    </row>
    <row r="203">
      <c r="A203" s="4" t="inlineStr">
        <is>
          <t>University of California, Berkeley</t>
        </is>
      </c>
      <c r="B203" s="4" t="inlineStr">
        <is>
          <t>Application fee</t>
        </is>
      </c>
      <c r="C203" s="4" t="inlineStr">
        <is>
          <t>Not stated</t>
        </is>
      </c>
      <c r="D203" s="4" t="inlineStr">
        <is>
          <t>Amount not shown on the pages checked</t>
        </is>
      </c>
      <c r="E203" s="4" t="inlineStr">
        <is>
          <t>(no statement found)</t>
        </is>
      </c>
      <c r="F203" s="4" t="inlineStr">
        <is>
          <t>https://physics.berkeley.edu/academic/graduate-degree/graduate-admissions</t>
        </is>
      </c>
      <c r="G203" s="4" t="inlineStr"/>
      <c r="H203" s="4" t="inlineStr">
        <is>
          <t>2026-10-21</t>
        </is>
      </c>
    </row>
    <row r="204">
      <c r="A204" s="4" t="inlineStr">
        <is>
          <t>University of California, Berkeley</t>
        </is>
      </c>
      <c r="B204" s="4" t="inlineStr">
        <is>
          <t>Intl fee waiver</t>
        </is>
      </c>
      <c r="C204" s="4" t="inlineStr">
        <is>
          <t>Domestic only</t>
        </is>
      </c>
      <c r="D204" s="4" t="inlineStr">
        <is>
          <t>Graduate Division waivers are for U.S. citizens/permanent residents</t>
        </is>
      </c>
      <c r="E204" s="4" t="inlineStr">
        <is>
          <t>U.S. citizens or current permanent residents may be eligible for an application fee waiver.</t>
        </is>
      </c>
      <c r="F204" s="4" t="inlineStr">
        <is>
          <t>https://grad.berkeley.edu/admissions/application-process/fee-waiver/</t>
        </is>
      </c>
      <c r="G204" s="4" t="inlineStr"/>
      <c r="H204" s="4" t="inlineStr">
        <is>
          <t>2026-10-21</t>
        </is>
      </c>
    </row>
    <row r="205">
      <c r="A205" s="4" t="inlineStr">
        <is>
          <t>University of California, Berkeley</t>
        </is>
      </c>
      <c r="B205" s="4" t="inlineStr">
        <is>
          <t>GRE General</t>
        </is>
      </c>
      <c r="C205" s="4" t="inlineStr">
        <is>
          <t>Recommended</t>
        </is>
      </c>
      <c r="D205" s="4" t="inlineStr">
        <is>
          <t>Strongly recommended (not required) for Fall 2027; required from Fall 2028 entry</t>
        </is>
      </c>
      <c r="E205" s="4" t="inlineStr">
        <is>
          <t>For the upcoming admissions cycle (applying in Fall 2026 for Fall 2027 entry): The Physics GRE is required, and the General GRE is strongly recommended but not required. | For future cycles (applying in Fall 2027 for Fall 2028 entry and beyond): Both the General and Physics GRE will be required.</t>
        </is>
      </c>
      <c r="F205" s="4" t="inlineStr">
        <is>
          <t>https://physics.berkeley.edu/academic/graduate-degree/graduate-admissions</t>
        </is>
      </c>
      <c r="G205" s="4" t="inlineStr"/>
      <c r="H205" s="4" t="inlineStr">
        <is>
          <t>2026-10-21</t>
        </is>
      </c>
    </row>
    <row r="206">
      <c r="A206" s="4" t="inlineStr">
        <is>
          <t>University of California, Berkeley</t>
        </is>
      </c>
      <c r="B206" s="4" t="inlineStr">
        <is>
          <t>Physics GRE</t>
        </is>
      </c>
      <c r="C206" s="4" t="inlineStr">
        <is>
          <t>Required</t>
        </is>
      </c>
      <c r="D206" s="4" t="inlineStr">
        <is>
          <t>Physics GRE REQUIRED for Fall 2027 entry</t>
        </is>
      </c>
      <c r="E206" s="4" t="inlineStr">
        <is>
          <t>For the upcoming admissions cycle (applying in Fall 2026 for Fall 2027 entry): The Physics GRE is required</t>
        </is>
      </c>
      <c r="F206" s="4" t="inlineStr">
        <is>
          <t>https://physics.berkeley.edu/academic/graduate-degree/graduate-admissions</t>
        </is>
      </c>
      <c r="G206" s="4" t="inlineStr"/>
      <c r="H206" s="4" t="inlineStr">
        <is>
          <t>2026-10-21</t>
        </is>
      </c>
    </row>
    <row r="207">
      <c r="A207" s="4" t="inlineStr">
        <is>
          <t>University of California, Berkeley</t>
        </is>
      </c>
      <c r="B207" s="4" t="inlineStr">
        <is>
          <t>TOEFL minimum</t>
        </is>
      </c>
      <c r="C207" s="4" t="inlineStr">
        <is>
          <t>90</t>
        </is>
      </c>
      <c r="D207" s="4" t="inlineStr">
        <is>
          <t>TOEFL 90 (tests Jun 1, 2025-Jan 20, 2026) or 5 on the new scale with 4.5 Speaking/Writing; Duolingo not accepted</t>
        </is>
      </c>
      <c r="E207" s="4" t="inlineStr">
        <is>
          <t>Tests taken from June 1, 2025 to January 20, 2026: 90 minimum total score Tests taken on or after January 21, 2026: 5 minimum total score, with 4.5 minimum Speaking and Writ</t>
        </is>
      </c>
      <c r="F207" s="4" t="inlineStr">
        <is>
          <t>https://grad.berkeley.edu/admissions/application-process/requirements/</t>
        </is>
      </c>
      <c r="G207" s="4" t="inlineStr"/>
      <c r="H207" s="4" t="inlineStr">
        <is>
          <t>2026-10-21</t>
        </is>
      </c>
    </row>
    <row r="208">
      <c r="A208" s="4" t="inlineStr">
        <is>
          <t>University of California, Berkeley</t>
        </is>
      </c>
      <c r="B208" s="4" t="inlineStr">
        <is>
          <t>English-test waiver (English-medium degree)</t>
        </is>
      </c>
      <c r="C208" s="4" t="inlineStr">
        <is>
          <t>No</t>
        </is>
      </c>
      <c r="D208" s="4" t="inlineStr">
        <is>
          <t>Exemption depends on the country of your bachelor's institution; India is not on Berkeley's exempt list (a U.S.-accredited institution abroad would qualify)</t>
        </is>
      </c>
      <c r="E208" s="4" t="inlineStr">
        <is>
          <t>Applicants who have completed a bachelor’s degree or equivalent in a country or region where English is not the primary language used in both daily life and academic instruction must submit official proof of English language proficiency, unless they qualify for a TOEFL/IELTS exemption.</t>
        </is>
      </c>
      <c r="F208" s="4" t="inlineStr">
        <is>
          <t>https://grad.berkeley.edu/admissions/application-process/requirements/</t>
        </is>
      </c>
      <c r="G208" s="4" t="inlineStr"/>
      <c r="H208" s="4" t="inlineStr">
        <is>
          <t>2026-10-21</t>
        </is>
      </c>
    </row>
    <row r="209">
      <c r="A209" s="4" t="inlineStr">
        <is>
          <t>University of California, Berkeley</t>
        </is>
      </c>
      <c r="B209" s="4" t="inlineStr">
        <is>
          <t>Supervisor before admission</t>
        </is>
      </c>
      <c r="C209" s="4" t="inlineStr">
        <is>
          <t>Not stated</t>
        </is>
      </c>
      <c r="D209" s="4" t="inlineStr">
        <is>
          <t>No pre-application supervisor requirement mentioned</t>
        </is>
      </c>
      <c r="E209" s="4" t="inlineStr">
        <is>
          <t>(no statement found)</t>
        </is>
      </c>
      <c r="F209" s="4" t="inlineStr">
        <is>
          <t>https://physics.berkeley.edu/academic/graduate-degree/graduate-admissions</t>
        </is>
      </c>
      <c r="G209" s="4" t="inlineStr"/>
      <c r="H209" s="4" t="inlineStr">
        <is>
          <t>2026-10-21</t>
        </is>
      </c>
    </row>
    <row r="210">
      <c r="A210" s="4" t="inlineStr">
        <is>
          <t>University of California, Berkeley</t>
        </is>
      </c>
      <c r="B210" s="4" t="inlineStr">
        <is>
          <t>PhD funding</t>
        </is>
      </c>
      <c r="C210" s="4" t="inlineStr">
        <is>
          <t>Not stated</t>
        </is>
      </c>
      <c r="D210" s="4" t="inlineStr">
        <is>
          <t>Not stated on the admissions page checked</t>
        </is>
      </c>
      <c r="E210" s="4" t="inlineStr">
        <is>
          <t>(no statement found)</t>
        </is>
      </c>
      <c r="F210" s="4" t="inlineStr">
        <is>
          <t>https://physics.berkeley.edu/academic/graduate-degree/graduate-admissions</t>
        </is>
      </c>
      <c r="G210" s="4" t="inlineStr"/>
      <c r="H210" s="4" t="inlineStr">
        <is>
          <t>2026-10-21</t>
        </is>
      </c>
    </row>
    <row r="211">
      <c r="A211" s="4" t="inlineStr">
        <is>
          <t>University of California, Berkeley</t>
        </is>
      </c>
      <c r="B211" s="4" t="inlineStr">
        <is>
          <t>Entry route</t>
        </is>
      </c>
      <c r="C211" s="4" t="inlineStr">
        <is>
          <t>Not stated</t>
        </is>
      </c>
      <c r="D211" s="4" t="inlineStr">
        <is>
          <t>Not stated on the page checked</t>
        </is>
      </c>
      <c r="E211" s="4" t="inlineStr">
        <is>
          <t>(no statement found)</t>
        </is>
      </c>
      <c r="F211" s="4" t="inlineStr">
        <is>
          <t>https://physics.berkeley.edu/academic/graduate-degree/graduate-admissions</t>
        </is>
      </c>
      <c r="G211" s="4" t="inlineStr"/>
      <c r="H211" s="4" t="inlineStr">
        <is>
          <t>2026-10-21</t>
        </is>
      </c>
    </row>
    <row r="212">
      <c r="A212" s="4" t="inlineStr">
        <is>
          <t>University of California, Santa Barbara</t>
        </is>
      </c>
      <c r="B212" s="4" t="inlineStr">
        <is>
          <t>Deadline (Fall 2027)</t>
        </is>
      </c>
      <c r="C212" s="4" t="inlineStr">
        <is>
          <t>2026-12-16</t>
        </is>
      </c>
      <c r="D212" s="4" t="inlineStr">
        <is>
          <t>December 16, 2026, 11:59 PM PST (Fall quarter only)</t>
        </is>
      </c>
      <c r="E212" s="4" t="inlineStr">
        <is>
          <t>For the 2027 admissions cycle, the deadline is December 16, 2026 by 11:59 PM Pacific Standard Time (PST).</t>
        </is>
      </c>
      <c r="F212" s="4" t="inlineStr">
        <is>
          <t>https://www.physics.ucsb.edu/academics/graduate/apply</t>
        </is>
      </c>
      <c r="G212" s="4" t="inlineStr"/>
      <c r="H212" s="4" t="inlineStr">
        <is>
          <t>2026-10-21</t>
        </is>
      </c>
    </row>
    <row r="213">
      <c r="A213" s="4" t="inlineStr">
        <is>
          <t>University of California, Santa Barbara</t>
        </is>
      </c>
      <c r="B213" s="4" t="inlineStr">
        <is>
          <t>Application fee</t>
        </is>
      </c>
      <c r="C213" s="4" t="inlineStr">
        <is>
          <t>155 USD</t>
        </is>
      </c>
      <c r="D213" s="4" t="inlineStr">
        <is>
          <t>USD 155 for non-U.S. applicants (2026 figure; USD 135 U.S./PR)</t>
        </is>
      </c>
      <c r="E213" s="4" t="inlineStr">
        <is>
          <t>The non-refundable graduate application fee is $135.00 for US citizens and Permanent Residents; and $155.00 for all others</t>
        </is>
      </c>
      <c r="F213" s="4" t="inlineStr">
        <is>
          <t>https://www.graddiv.ucsb.edu/admissions/faqs-applicants</t>
        </is>
      </c>
      <c r="G213" s="4" t="inlineStr"/>
      <c r="H213" s="4" t="inlineStr">
        <is>
          <t>2026-10-21</t>
        </is>
      </c>
    </row>
    <row r="214">
      <c r="A214" s="4" t="inlineStr">
        <is>
          <t>University of California, Santa Barbara</t>
        </is>
      </c>
      <c r="B214" s="4" t="inlineStr">
        <is>
          <t>Intl fee waiver</t>
        </is>
      </c>
      <c r="C214" s="4" t="inlineStr">
        <is>
          <t>Domestic only</t>
        </is>
      </c>
      <c r="D214" s="4" t="inlineStr">
        <is>
          <t>Fee waivers are not available to international applicants</t>
        </is>
      </c>
      <c r="E214" s="4" t="inlineStr">
        <is>
          <t>A limited number of fee waivers are available for qualified US citizens and permanent residents. Fee waivers are not available to international applicants.</t>
        </is>
      </c>
      <c r="F214" s="4" t="inlineStr">
        <is>
          <t>https://www.graddiv.ucsb.edu/admissions/faqs-applicants</t>
        </is>
      </c>
      <c r="G214" s="4" t="inlineStr"/>
      <c r="H214" s="4" t="inlineStr">
        <is>
          <t>2026-10-21</t>
        </is>
      </c>
    </row>
    <row r="215">
      <c r="A215" s="4" t="inlineStr">
        <is>
          <t>University of California, Santa Barbara</t>
        </is>
      </c>
      <c r="B215" s="4" t="inlineStr">
        <is>
          <t>GRE General</t>
        </is>
      </c>
      <c r="C215" s="4" t="inlineStr">
        <is>
          <t>Not considered</t>
        </is>
      </c>
      <c r="D215" s="4" t="inlineStr">
        <is>
          <t>Not required and will not be accepted for 2027</t>
        </is>
      </c>
      <c r="E215" s="4" t="inlineStr">
        <is>
          <t>2027 Applicants: GRE scores are not required and will not be accepted.</t>
        </is>
      </c>
      <c r="F215" s="4" t="inlineStr">
        <is>
          <t>https://www.physics.ucsb.edu/academics/graduate/apply</t>
        </is>
      </c>
      <c r="G215" s="4" t="inlineStr"/>
      <c r="H215" s="4" t="inlineStr">
        <is>
          <t>2026-10-21</t>
        </is>
      </c>
    </row>
    <row r="216">
      <c r="A216" s="4" t="inlineStr">
        <is>
          <t>University of California, Santa Barbara</t>
        </is>
      </c>
      <c r="B216" s="4" t="inlineStr">
        <is>
          <t>Physics GRE</t>
        </is>
      </c>
      <c r="C216" s="4" t="inlineStr">
        <is>
          <t>Not considered</t>
        </is>
      </c>
      <c r="D216" s="4" t="inlineStr">
        <is>
          <t>Not required and will not be accepted for 2027</t>
        </is>
      </c>
      <c r="E216" s="4" t="inlineStr">
        <is>
          <t>2027 Applicants: GRE scores are not required and will not be accepted.</t>
        </is>
      </c>
      <c r="F216" s="4" t="inlineStr">
        <is>
          <t>https://www.physics.ucsb.edu/academics/graduate/apply</t>
        </is>
      </c>
      <c r="G216" s="4" t="inlineStr"/>
      <c r="H216" s="4" t="inlineStr">
        <is>
          <t>2026-10-21</t>
        </is>
      </c>
    </row>
    <row r="217">
      <c r="A217" s="4" t="inlineStr">
        <is>
          <t>University of California, Santa Barbara</t>
        </is>
      </c>
      <c r="B217" s="4" t="inlineStr">
        <is>
          <t>TOEFL minimum</t>
        </is>
      </c>
      <c r="C217" s="4" t="inlineStr">
        <is>
          <t>80</t>
        </is>
      </c>
      <c r="D217" s="4" t="inlineStr">
        <is>
          <t>TOEFL 80 (before 1/21/2026) or 4.0 (new scale); IELTS 7; Duolingo 120</t>
        </is>
      </c>
      <c r="E217" s="4" t="inlineStr">
        <is>
          <t>TOEFL internet-based test (iBT) and TOEFL iBT Home Edition 80 (exams taken before 1/21/2026) or 4.0 (exams taken on or after 1/21/2026) IELTS Academic and IELTS Indicator Overall Band Score of 7 Duolingo English Test (DET) 120</t>
        </is>
      </c>
      <c r="F217" s="4" t="inlineStr">
        <is>
          <t>https://www.physics.ucsb.edu/academics/graduate/apply</t>
        </is>
      </c>
      <c r="G217" s="4" t="inlineStr"/>
      <c r="H217" s="4" t="inlineStr">
        <is>
          <t>2026-10-21</t>
        </is>
      </c>
    </row>
    <row r="218">
      <c r="A218" s="4" t="inlineStr">
        <is>
          <t>University of California, Santa Barbara</t>
        </is>
      </c>
      <c r="B218" s="4" t="inlineStr">
        <is>
          <t>English-test waiver (English-medium degree)</t>
        </is>
      </c>
      <c r="C218" s="4" t="inlineStr">
        <is>
          <t>Not stated</t>
        </is>
      </c>
      <c r="D218" s="4" t="inlineStr">
        <is>
          <t>Required if native language is not English; exemptions not shown on the page checked</t>
        </is>
      </c>
      <c r="E218" s="4" t="inlineStr">
        <is>
          <t>Applicants whose native language is not English are required to take the Test of English as a Foreign Language (TOEFL), the International English Language Testing System (IELTS), or the Duolingo English Test (DET).</t>
        </is>
      </c>
      <c r="F218" s="4" t="inlineStr">
        <is>
          <t>https://www.physics.ucsb.edu/academics/graduate/apply</t>
        </is>
      </c>
      <c r="G218" s="4" t="inlineStr"/>
      <c r="H218" s="4" t="inlineStr">
        <is>
          <t>2026-10-21</t>
        </is>
      </c>
    </row>
    <row r="219">
      <c r="A219" s="4" t="inlineStr">
        <is>
          <t>University of California, Santa Barbara</t>
        </is>
      </c>
      <c r="B219" s="4" t="inlineStr">
        <is>
          <t>Supervisor before admission</t>
        </is>
      </c>
      <c r="C219" s="4" t="inlineStr">
        <is>
          <t>Recommended</t>
        </is>
      </c>
      <c r="D219" s="4" t="inlineStr">
        <is>
          <t>Strongly encouraged to contact faculty early and list potential advisors</t>
        </is>
      </c>
      <c r="E219" s="4" t="inlineStr">
        <is>
          <t>Applicants are strongly encouraged to contact individual faculty members whose research interests align with their own early in the application process and to list potential advisors on their applications.</t>
        </is>
      </c>
      <c r="F219" s="4" t="inlineStr">
        <is>
          <t>https://www.physics.ucsb.edu/academics/graduate/apply</t>
        </is>
      </c>
      <c r="G219" s="4" t="inlineStr"/>
      <c r="H219" s="4" t="inlineStr">
        <is>
          <t>2026-10-21</t>
        </is>
      </c>
    </row>
    <row r="220">
      <c r="A220" s="4" t="inlineStr">
        <is>
          <t>University of California, Santa Barbara</t>
        </is>
      </c>
      <c r="B220" s="4" t="inlineStr">
        <is>
          <t>PhD funding</t>
        </is>
      </c>
      <c r="C220" s="4" t="inlineStr">
        <is>
          <t>Not stated</t>
        </is>
      </c>
      <c r="D220" s="4" t="inlineStr">
        <is>
          <t>Not stated on the page checked</t>
        </is>
      </c>
      <c r="E220" s="4" t="inlineStr">
        <is>
          <t>(no statement found)</t>
        </is>
      </c>
      <c r="F220" s="4" t="inlineStr">
        <is>
          <t>https://www.physics.ucsb.edu/academics/graduate/apply</t>
        </is>
      </c>
      <c r="G220" s="4" t="inlineStr"/>
      <c r="H220" s="4" t="inlineStr">
        <is>
          <t>2026-10-21</t>
        </is>
      </c>
    </row>
    <row r="221">
      <c r="A221" s="4" t="inlineStr">
        <is>
          <t>University of California, Santa Barbara</t>
        </is>
      </c>
      <c r="B221" s="4" t="inlineStr">
        <is>
          <t>Entry route</t>
        </is>
      </c>
      <c r="C221" s="4" t="inlineStr">
        <is>
          <t>Not stated</t>
        </is>
      </c>
      <c r="D221" s="4" t="inlineStr">
        <is>
          <t>Not stated on the page checked</t>
        </is>
      </c>
      <c r="E221" s="4" t="inlineStr">
        <is>
          <t>(no statement found)</t>
        </is>
      </c>
      <c r="F221" s="4" t="inlineStr">
        <is>
          <t>https://www.physics.ucsb.edu/academics/graduate/apply</t>
        </is>
      </c>
      <c r="G221" s="4" t="inlineStr"/>
      <c r="H221" s="4" t="inlineStr">
        <is>
          <t>2026-10-21</t>
        </is>
      </c>
    </row>
    <row r="222">
      <c r="A222" s="4" t="inlineStr">
        <is>
          <t>University of Chicago</t>
        </is>
      </c>
      <c r="B222" s="4" t="inlineStr">
        <is>
          <t>Deadline (Fall 2027)</t>
        </is>
      </c>
      <c r="C222" s="4" t="inlineStr">
        <is>
          <t>2026-12-14</t>
        </is>
      </c>
      <c r="D222" s="4" t="inlineStr">
        <is>
          <t>December 14, 2026</t>
        </is>
      </c>
      <c r="E222" s="4" t="inlineStr">
        <is>
          <t>Application deadline is December 14, 2026.</t>
        </is>
      </c>
      <c r="F222" s="4" t="inlineStr">
        <is>
          <t>https://physicsrecruitment.psd.uchicago.edu/apply/</t>
        </is>
      </c>
      <c r="G222" s="4" t="inlineStr"/>
      <c r="H222" s="4" t="inlineStr">
        <is>
          <t>2026-10-21</t>
        </is>
      </c>
    </row>
    <row r="223">
      <c r="A223" s="4" t="inlineStr">
        <is>
          <t>University of Chicago</t>
        </is>
      </c>
      <c r="B223" s="4" t="inlineStr">
        <is>
          <t>Application fee</t>
        </is>
      </c>
      <c r="C223" s="4" t="inlineStr">
        <is>
          <t>90 USD</t>
        </is>
      </c>
      <c r="D223" s="4" t="inlineStr">
        <is>
          <t>USD 90 generally, non-refundable</t>
        </is>
      </c>
      <c r="E223" s="4" t="inlineStr">
        <is>
          <t>Generally, an application fee of $90 is required and non-refundable.</t>
        </is>
      </c>
      <c r="F223" s="4" t="inlineStr">
        <is>
          <t>https://physicalsciences.uchicago.edu/academics/application-requirements/</t>
        </is>
      </c>
      <c r="G223" s="4" t="inlineStr"/>
      <c r="H223" s="4" t="inlineStr">
        <is>
          <t>2026-10-21</t>
        </is>
      </c>
    </row>
    <row r="224">
      <c r="A224" s="4" t="inlineStr">
        <is>
          <t>University of Chicago</t>
        </is>
      </c>
      <c r="B224" s="4" t="inlineStr">
        <is>
          <t>Intl fee waiver</t>
        </is>
      </c>
      <c r="C224" s="4" t="inlineStr">
        <is>
          <t>Limited</t>
        </is>
      </c>
      <c r="D224" s="4" t="inlineStr">
        <is>
          <t>Specific fee-waiver categories exist (PSD); request through the application portal before paying</t>
        </is>
      </c>
      <c r="E224" s="4" t="inlineStr">
        <is>
          <t>Applicants may qualify for specific fee waivers.</t>
        </is>
      </c>
      <c r="F224" s="4" t="inlineStr">
        <is>
          <t>https://physicalsciences.uchicago.edu/academics/application-requirements/</t>
        </is>
      </c>
      <c r="G224" s="4" t="inlineStr"/>
      <c r="H224" s="4" t="inlineStr">
        <is>
          <t>2026-10-21</t>
        </is>
      </c>
    </row>
    <row r="225">
      <c r="A225" s="4" t="inlineStr">
        <is>
          <t>University of Chicago</t>
        </is>
      </c>
      <c r="B225" s="4" t="inlineStr">
        <is>
          <t>GRE General</t>
        </is>
      </c>
      <c r="C225" s="4" t="inlineStr">
        <is>
          <t>Not required</t>
        </is>
      </c>
      <c r="D225" s="4" t="inlineStr">
        <is>
          <t>General GRE not required</t>
        </is>
      </c>
      <c r="E225" s="4" t="inlineStr">
        <is>
          <t>The General GRE will not be required.</t>
        </is>
      </c>
      <c r="F225" s="4" t="inlineStr">
        <is>
          <t>https://physicsrecruitment.psd.uchicago.edu/apply/</t>
        </is>
      </c>
      <c r="G225" s="4" t="inlineStr"/>
      <c r="H225" s="4" t="inlineStr">
        <is>
          <t>2026-10-21</t>
        </is>
      </c>
    </row>
    <row r="226">
      <c r="A226" s="4" t="inlineStr">
        <is>
          <t>University of Chicago</t>
        </is>
      </c>
      <c r="B226" s="4" t="inlineStr">
        <is>
          <t>Physics GRE</t>
        </is>
      </c>
      <c r="C226" s="4" t="inlineStr">
        <is>
          <t>Required</t>
        </is>
      </c>
      <c r="D226" s="4" t="inlineStr">
        <is>
          <t>Physics GRE REQUIRED for the 2026-2027 cycle</t>
        </is>
      </c>
      <c r="E226" s="4" t="inlineStr">
        <is>
          <t>The Physics GRE will be required for the 2026-2027 PhD admissions cycle.</t>
        </is>
      </c>
      <c r="F226" s="4" t="inlineStr">
        <is>
          <t>https://physicsrecruitment.psd.uchicago.edu/apply/</t>
        </is>
      </c>
      <c r="G226" s="4" t="inlineStr"/>
      <c r="H226" s="4" t="inlineStr">
        <is>
          <t>2026-10-21</t>
        </is>
      </c>
    </row>
    <row r="227">
      <c r="A227" s="4" t="inlineStr">
        <is>
          <t>University of Chicago</t>
        </is>
      </c>
      <c r="B227" s="4" t="inlineStr">
        <is>
          <t>TOEFL minimum</t>
        </is>
      </c>
      <c r="C227" s="4" t="inlineStr">
        <is>
          <t>Not stated</t>
        </is>
      </c>
      <c r="D227" s="4" t="inlineStr">
        <is>
          <t>Any English exam you feel represents your ability; official or self-reported scores accepted (PSD)</t>
        </is>
      </c>
      <c r="E227" s="4" t="inlineStr">
        <is>
          <t>Students are invited to submit scores from any English proficiency examination they believe represents their English language ability.</t>
        </is>
      </c>
      <c r="F227" s="4" t="inlineStr">
        <is>
          <t>https://physicalsciences.uchicago.edu/academics/application-requirements/</t>
        </is>
      </c>
      <c r="G227" s="4" t="inlineStr"/>
      <c r="H227" s="4" t="inlineStr">
        <is>
          <t>2026-10-21</t>
        </is>
      </c>
    </row>
    <row r="228">
      <c r="A228" s="4" t="inlineStr">
        <is>
          <t>University of Chicago</t>
        </is>
      </c>
      <c r="B228" s="4" t="inlineStr">
        <is>
          <t>English-test waiver (English-medium degree)</t>
        </is>
      </c>
      <c r="C228" s="4" t="inlineStr">
        <is>
          <t>Not stated</t>
        </is>
      </c>
      <c r="D228" s="4" t="inlineStr">
        <is>
          <t>PSD has waiver criteria; criteria not shown in the text checked</t>
        </is>
      </c>
      <c r="E228" s="4" t="inlineStr">
        <is>
          <t>Applicants to the PSD PhD programs who do not meet the waiver criteria must submit proof of English language proficiency.</t>
        </is>
      </c>
      <c r="F228" s="4" t="inlineStr">
        <is>
          <t>https://physicalsciences.uchicago.edu/academics/application-requirements/</t>
        </is>
      </c>
      <c r="G228" s="4" t="inlineStr"/>
      <c r="H228" s="4" t="inlineStr">
        <is>
          <t>2026-10-21</t>
        </is>
      </c>
    </row>
    <row r="229">
      <c r="A229" s="4" t="inlineStr">
        <is>
          <t>University of Chicago</t>
        </is>
      </c>
      <c r="B229" s="4" t="inlineStr">
        <is>
          <t>Supervisor before admission</t>
        </is>
      </c>
      <c r="C229" s="4" t="inlineStr">
        <is>
          <t>Not stated</t>
        </is>
      </c>
      <c r="D229" s="4" t="inlineStr">
        <is>
          <t>No pre-application supervisor requirement mentioned</t>
        </is>
      </c>
      <c r="E229" s="4" t="inlineStr">
        <is>
          <t>(no statement found)</t>
        </is>
      </c>
      <c r="F229" s="4" t="inlineStr">
        <is>
          <t>https://physicsrecruitment.psd.uchicago.edu/apply/</t>
        </is>
      </c>
      <c r="G229" s="4" t="inlineStr"/>
      <c r="H229" s="4" t="inlineStr">
        <is>
          <t>2026-10-21</t>
        </is>
      </c>
    </row>
    <row r="230">
      <c r="A230" s="4" t="inlineStr">
        <is>
          <t>University of Chicago</t>
        </is>
      </c>
      <c r="B230" s="4" t="inlineStr">
        <is>
          <t>PhD funding</t>
        </is>
      </c>
      <c r="C230" s="4" t="inlineStr">
        <is>
          <t>Not stated</t>
        </is>
      </c>
      <c r="D230" s="4" t="inlineStr">
        <is>
          <t>PhD programs are funded (stipend timing noted); amounts not stated on the pages checked</t>
        </is>
      </c>
      <c r="E230" s="4" t="inlineStr">
        <is>
          <t>Applicants to funded programs, including PhDs, should be aware that the first stipend disbursal typically takes place near, or after, the beginning of their first quarter.</t>
        </is>
      </c>
      <c r="F230" s="4" t="inlineStr">
        <is>
          <t>https://physicalsciences.uchicago.edu/academics/application-requirements/</t>
        </is>
      </c>
      <c r="G230" s="4" t="inlineStr"/>
      <c r="H230" s="4" t="inlineStr">
        <is>
          <t>2026-10-21</t>
        </is>
      </c>
    </row>
    <row r="231">
      <c r="A231" s="4" t="inlineStr">
        <is>
          <t>University of Chicago</t>
        </is>
      </c>
      <c r="B231" s="4" t="inlineStr">
        <is>
          <t>Entry route</t>
        </is>
      </c>
      <c r="C231" s="4" t="inlineStr">
        <is>
          <t>Not stated</t>
        </is>
      </c>
      <c r="D231" s="4" t="inlineStr">
        <is>
          <t>Not stated on the pages checked</t>
        </is>
      </c>
      <c r="E231" s="4" t="inlineStr">
        <is>
          <t>(no statement found)</t>
        </is>
      </c>
      <c r="F231" s="4" t="inlineStr">
        <is>
          <t>https://physicsrecruitment.psd.uchicago.edu/apply/</t>
        </is>
      </c>
      <c r="G231" s="4" t="inlineStr"/>
      <c r="H231" s="4" t="inlineStr">
        <is>
          <t>2026-10-21</t>
        </is>
      </c>
    </row>
    <row r="232">
      <c r="A232" s="4" t="inlineStr">
        <is>
          <t>University of Illinois Urbana-Champaign</t>
        </is>
      </c>
      <c r="B232" s="4" t="inlineStr">
        <is>
          <t>Deadline (Fall 2027)</t>
        </is>
      </c>
      <c r="C232" s="4" t="inlineStr">
        <is>
          <t>2027-01-15</t>
        </is>
      </c>
      <c r="D232" s="4" t="inlineStr">
        <is>
          <t>January 15, 2027 for Fall 2027; all materials incl. letters and official scores by that date</t>
        </is>
      </c>
      <c r="E232" s="4" t="inlineStr">
        <is>
          <t>The application deadline for Fall 2027 admission is January 15, 2027.</t>
        </is>
      </c>
      <c r="F232" s="4" t="inlineStr">
        <is>
          <t>https://physics.illinois.edu/admissions/graduates/apply</t>
        </is>
      </c>
      <c r="G232" s="4" t="inlineStr"/>
      <c r="H232" s="4" t="inlineStr">
        <is>
          <t>2026-10-21</t>
        </is>
      </c>
    </row>
    <row r="233">
      <c r="A233" s="4" t="inlineStr">
        <is>
          <t>University of Illinois Urbana-Champaign</t>
        </is>
      </c>
      <c r="B233" s="4" t="inlineStr">
        <is>
          <t>Application fee</t>
        </is>
      </c>
      <c r="C233" s="4" t="inlineStr">
        <is>
          <t>90 USD</t>
        </is>
      </c>
      <c r="D233" s="4" t="inlineStr">
        <is>
          <t>USD 90 international (USD 70 domestic)</t>
        </is>
      </c>
      <c r="E233" s="4" t="inlineStr">
        <is>
          <t>The fee is US$70 for domestic applicants and US$90 for international applicants.</t>
        </is>
      </c>
      <c r="F233" s="4" t="inlineStr">
        <is>
          <t>https://physics.illinois.edu/admissions/graduates/admissions-requirements</t>
        </is>
      </c>
      <c r="G233" s="4" t="inlineStr"/>
      <c r="H233" s="4" t="inlineStr">
        <is>
          <t>2026-10-21</t>
        </is>
      </c>
    </row>
    <row r="234">
      <c r="A234" s="4" t="inlineStr">
        <is>
          <t>University of Illinois Urbana-Champaign</t>
        </is>
      </c>
      <c r="B234" s="4" t="inlineStr">
        <is>
          <t>Intl fee waiver</t>
        </is>
      </c>
      <c r="C234" s="4" t="inlineStr">
        <is>
          <t>Not stated</t>
        </is>
      </c>
      <c r="D234" s="4" t="inlineStr">
        <is>
          <t>No international fee-waiver route stated on the department pages checked</t>
        </is>
      </c>
      <c r="E234" s="4" t="inlineStr">
        <is>
          <t>(no statement found)</t>
        </is>
      </c>
      <c r="F234" s="4" t="inlineStr">
        <is>
          <t>https://physics.illinois.edu/admissions/graduates/admissions-requirements</t>
        </is>
      </c>
      <c r="G234" s="4" t="inlineStr"/>
      <c r="H234" s="4" t="inlineStr">
        <is>
          <t>2026-10-21</t>
        </is>
      </c>
    </row>
    <row r="235">
      <c r="A235" s="4" t="inlineStr">
        <is>
          <t>University of Illinois Urbana-Champaign</t>
        </is>
      </c>
      <c r="B235" s="4" t="inlineStr">
        <is>
          <t>GRE General</t>
        </is>
      </c>
      <c r="C235" s="4" t="inlineStr">
        <is>
          <t>Optional</t>
        </is>
      </c>
      <c r="D235" s="4" t="inlineStr">
        <is>
          <t>Optional this year</t>
        </is>
      </c>
      <c r="E235" s="4" t="inlineStr">
        <is>
          <t>Both the Graduate Record Examination (GRE) General Tests (Verbal, Quantitative, and Analytical) and the GRE Physics Subject Test are optional this year.</t>
        </is>
      </c>
      <c r="F235" s="4" t="inlineStr">
        <is>
          <t>https://physics.illinois.edu/admissions/graduates/admissions-requirements</t>
        </is>
      </c>
      <c r="G235" s="4" t="inlineStr"/>
      <c r="H235" s="4" t="inlineStr">
        <is>
          <t>2026-10-21</t>
        </is>
      </c>
    </row>
    <row r="236">
      <c r="A236" s="4" t="inlineStr">
        <is>
          <t>University of Illinois Urbana-Champaign</t>
        </is>
      </c>
      <c r="B236" s="4" t="inlineStr">
        <is>
          <t>Physics GRE</t>
        </is>
      </c>
      <c r="C236" s="4" t="inlineStr">
        <is>
          <t>Optional</t>
        </is>
      </c>
      <c r="D236" s="4" t="inlineStr">
        <is>
          <t>Optional this year</t>
        </is>
      </c>
      <c r="E236" s="4" t="inlineStr">
        <is>
          <t>GRE General Tests (optional); Physics GRE Subject Test (optional)</t>
        </is>
      </c>
      <c r="F236" s="4" t="inlineStr">
        <is>
          <t>https://physics.illinois.edu/admissions/graduates/apply</t>
        </is>
      </c>
      <c r="G236" s="4" t="inlineStr"/>
      <c r="H236" s="4" t="inlineStr">
        <is>
          <t>2026-10-21</t>
        </is>
      </c>
    </row>
    <row r="237">
      <c r="A237" s="4" t="inlineStr">
        <is>
          <t>University of Illinois Urbana-Champaign</t>
        </is>
      </c>
      <c r="B237" s="4" t="inlineStr">
        <is>
          <t>TOEFL minimum</t>
        </is>
      </c>
      <c r="C237" s="4" t="inlineStr">
        <is>
          <t>Not stated</t>
        </is>
      </c>
      <c r="D237" s="4" t="inlineStr">
        <is>
          <t>TOEFL/IELTS/Duolingo accepted (TOEFL code 1836); minimum not shown on the pages checked</t>
        </is>
      </c>
      <c r="E237" s="4" t="inlineStr">
        <is>
          <t>The institution code for TOEFL is 1836.</t>
        </is>
      </c>
      <c r="F237" s="4" t="inlineStr">
        <is>
          <t>https://physics.illinois.edu/admissions/graduates/apply</t>
        </is>
      </c>
      <c r="G237" s="4" t="inlineStr"/>
      <c r="H237" s="4" t="inlineStr">
        <is>
          <t>2026-10-21</t>
        </is>
      </c>
    </row>
    <row r="238">
      <c r="A238" s="4" t="inlineStr">
        <is>
          <t>University of Illinois Urbana-Champaign</t>
        </is>
      </c>
      <c r="B238" s="4" t="inlineStr">
        <is>
          <t>English-test waiver (English-medium degree)</t>
        </is>
      </c>
      <c r="C238" s="4" t="inlineStr">
        <is>
          <t>No</t>
        </is>
      </c>
      <c r="D238" s="4" t="inlineStr">
        <is>
          <t>Exemption only for degrees/study in the U.S. or an approved English-primary country; India is not on the Graduate College's approved list</t>
        </is>
      </c>
      <c r="E238" s="4" t="inlineStr">
        <is>
          <t>Received a post-secondary degree from a U.S. institution (or an institution within an approved country) within five years of the proposed admission term. | Illinois Graduate Admissions recognizes the following countries as having English as the primary language: Australia, Bahamas, Barbados, Belize, Bermuda, Canada, ...</t>
        </is>
      </c>
      <c r="F238" s="4" t="inlineStr">
        <is>
          <t>https://grad.illinois.edu/admissions/international-applicants</t>
        </is>
      </c>
      <c r="G238" s="4" t="inlineStr"/>
      <c r="H238" s="4" t="inlineStr">
        <is>
          <t>2026-10-21</t>
        </is>
      </c>
    </row>
    <row r="239">
      <c r="A239" s="4" t="inlineStr">
        <is>
          <t>University of Illinois Urbana-Champaign</t>
        </is>
      </c>
      <c r="B239" s="4" t="inlineStr">
        <is>
          <t>Supervisor before admission</t>
        </is>
      </c>
      <c r="C239" s="4" t="inlineStr">
        <is>
          <t>Not stated</t>
        </is>
      </c>
      <c r="D239" s="4" t="inlineStr">
        <is>
          <t>Admission is decided by the department committee; no pre-application supervisor requirement mentioned on the pages checked</t>
        </is>
      </c>
      <c r="E239" s="4" t="inlineStr">
        <is>
          <t>(no statement found)</t>
        </is>
      </c>
      <c r="F239" s="4" t="inlineStr">
        <is>
          <t>https://physics.illinois.edu/admissions/graduates/apply</t>
        </is>
      </c>
      <c r="G239" s="4" t="inlineStr"/>
      <c r="H239" s="4" t="inlineStr">
        <is>
          <t>2026-10-21</t>
        </is>
      </c>
    </row>
    <row r="240">
      <c r="A240" s="4" t="inlineStr">
        <is>
          <t>University of Illinois Urbana-Champaign</t>
        </is>
      </c>
      <c r="B240" s="4" t="inlineStr">
        <is>
          <t>PhD funding</t>
        </is>
      </c>
      <c r="C240" s="4" t="inlineStr">
        <is>
          <t>Typical</t>
        </is>
      </c>
      <c r="D240" s="4" t="inlineStr">
        <is>
          <t>Most admitted students are offered a Teaching Assistantship</t>
        </is>
      </c>
      <c r="E240" s="4" t="inlineStr">
        <is>
          <t>Most students to whom we offer admission are also offered a Teaching Assistantship for financial support.</t>
        </is>
      </c>
      <c r="F240" s="4" t="inlineStr">
        <is>
          <t>https://physics.illinois.edu/admissions/graduates/admissions-requirements</t>
        </is>
      </c>
      <c r="G240" s="4" t="inlineStr"/>
      <c r="H240" s="4" t="inlineStr">
        <is>
          <t>2026-10-21</t>
        </is>
      </c>
    </row>
    <row r="241">
      <c r="A241" s="4" t="inlineStr">
        <is>
          <t>University of Illinois Urbana-Champaign</t>
        </is>
      </c>
      <c r="B241" s="4" t="inlineStr">
        <is>
          <t>Entry route</t>
        </is>
      </c>
      <c r="C241" s="4" t="inlineStr">
        <is>
          <t>Direct from bachelor's</t>
        </is>
      </c>
      <c r="D241" s="4" t="inlineStr">
        <is>
          <t>Final-year bachelor's applicants are considered (overall and advanced-physics GPA)</t>
        </is>
      </c>
      <c r="E241" s="4" t="inlineStr">
        <is>
          <t>For applicants who are currently in the final year of a bachelor's degree program, the department's graduate admissions committee will consider both the overall GPA and the GPA computed for intermediate and advanced physics courses.</t>
        </is>
      </c>
      <c r="F241" s="4" t="inlineStr">
        <is>
          <t>https://physics.illinois.edu/admissions/graduates/admissions-requirements</t>
        </is>
      </c>
      <c r="G241" s="4" t="inlineStr"/>
      <c r="H241" s="4" t="inlineStr">
        <is>
          <t>2026-10-21</t>
        </is>
      </c>
    </row>
    <row r="242">
      <c r="A242" s="4" t="inlineStr">
        <is>
          <t>University of Maryland, College Park</t>
        </is>
      </c>
      <c r="B242" s="4" t="inlineStr">
        <is>
          <t>Deadline (Fall 2027)</t>
        </is>
      </c>
      <c r="C242" s="4" t="inlineStr">
        <is>
          <t>2026-12-11</t>
        </is>
      </c>
      <c r="D242" s="4" t="inlineStr">
        <is>
          <t>December 11, 2026 for Fall 2027 (domestic and international)</t>
        </is>
      </c>
      <c r="E242" s="4" t="inlineStr">
        <is>
          <t>Fall Deadline Domestic Applicants US Citizens and Permanent Residents December 11, 2026 International Applicants F (student) or J (exchange visitor) visas; A,E,G,H,I and L visas and immigrants December 11, 2026</t>
        </is>
      </c>
      <c r="F242" s="4" t="inlineStr">
        <is>
          <t>https://academiccatalog.umd.edu/graduate/programs/physics-phys/</t>
        </is>
      </c>
      <c r="G242" s="4" t="inlineStr"/>
      <c r="H242" s="4" t="inlineStr">
        <is>
          <t>2026-10-21</t>
        </is>
      </c>
    </row>
    <row r="243">
      <c r="A243" s="4" t="inlineStr">
        <is>
          <t>University of Maryland, College Park</t>
        </is>
      </c>
      <c r="B243" s="4" t="inlineStr">
        <is>
          <t>Application fee</t>
        </is>
      </c>
      <c r="C243" s="4" t="inlineStr">
        <is>
          <t>Not stated</t>
        </is>
      </c>
      <c r="D243" s="4" t="inlineStr">
        <is>
          <t>Amount not shown on the pages checked</t>
        </is>
      </c>
      <c r="E243" s="4" t="inlineStr">
        <is>
          <t>(no statement found)</t>
        </is>
      </c>
      <c r="F243" s="4" t="inlineStr">
        <is>
          <t>https://academiccatalog.umd.edu/graduate/programs/physics-phys/</t>
        </is>
      </c>
      <c r="G243" s="4" t="inlineStr"/>
      <c r="H243" s="4" t="inlineStr">
        <is>
          <t>2026-10-21</t>
        </is>
      </c>
    </row>
    <row r="244">
      <c r="A244" s="4" t="inlineStr">
        <is>
          <t>University of Maryland, College Park</t>
        </is>
      </c>
      <c r="B244" s="4" t="inlineStr">
        <is>
          <t>Intl fee waiver</t>
        </is>
      </c>
      <c r="C244" s="4" t="inlineStr">
        <is>
          <t>Not stated</t>
        </is>
      </c>
      <c r="D244" s="4" t="inlineStr">
        <is>
          <t>Not stated on the pages checked</t>
        </is>
      </c>
      <c r="E244" s="4" t="inlineStr">
        <is>
          <t>(no statement found)</t>
        </is>
      </c>
      <c r="F244" s="4" t="inlineStr">
        <is>
          <t>https://academiccatalog.umd.edu/graduate/programs/physics-phys/</t>
        </is>
      </c>
      <c r="G244" s="4" t="inlineStr"/>
      <c r="H244" s="4" t="inlineStr">
        <is>
          <t>2026-10-21</t>
        </is>
      </c>
    </row>
    <row r="245">
      <c r="A245" s="4" t="inlineStr">
        <is>
          <t>University of Maryland, College Park</t>
        </is>
      </c>
      <c r="B245" s="4" t="inlineStr">
        <is>
          <t>GRE General</t>
        </is>
      </c>
      <c r="C245" s="4" t="inlineStr">
        <is>
          <t>Not stated</t>
        </is>
      </c>
      <c r="D245" s="4" t="inlineStr">
        <is>
          <t>Only the Physics subject GRE is listed (optional)</t>
        </is>
      </c>
      <c r="E245" s="4" t="inlineStr">
        <is>
          <t>(no statement found)</t>
        </is>
      </c>
      <c r="F245" s="4" t="inlineStr">
        <is>
          <t>https://academiccatalog.umd.edu/graduate/programs/physics-phys/</t>
        </is>
      </c>
      <c r="G245" s="4" t="inlineStr"/>
      <c r="H245" s="4" t="inlineStr">
        <is>
          <t>2026-10-21</t>
        </is>
      </c>
    </row>
    <row r="246">
      <c r="A246" s="4" t="inlineStr">
        <is>
          <t>University of Maryland, College Park</t>
        </is>
      </c>
      <c r="B246" s="4" t="inlineStr">
        <is>
          <t>Physics GRE</t>
        </is>
      </c>
      <c r="C246" s="4" t="inlineStr">
        <is>
          <t>Optional</t>
        </is>
      </c>
      <c r="D246" s="4" t="inlineStr">
        <is>
          <t>GRE Subject (Physics) listed as optional</t>
        </is>
      </c>
      <c r="E246" s="4" t="inlineStr">
        <is>
          <t>GRE Subject (Physics) (optional)</t>
        </is>
      </c>
      <c r="F246" s="4" t="inlineStr">
        <is>
          <t>https://academiccatalog.umd.edu/graduate/programs/physics-phys/</t>
        </is>
      </c>
      <c r="G246" s="4" t="inlineStr"/>
      <c r="H246" s="4" t="inlineStr">
        <is>
          <t>2026-10-21</t>
        </is>
      </c>
    </row>
    <row r="247">
      <c r="A247" s="4" t="inlineStr">
        <is>
          <t>University of Maryland, College Park</t>
        </is>
      </c>
      <c r="B247" s="4" t="inlineStr">
        <is>
          <t>TOEFL minimum</t>
        </is>
      </c>
      <c r="C247" s="4" t="inlineStr">
        <is>
          <t>Not stated</t>
        </is>
      </c>
      <c r="D247" s="4" t="inlineStr">
        <is>
          <t>TOEFL/IELTS/PTE required for international applicants; minimum not shown on the page checked</t>
        </is>
      </c>
      <c r="E247" s="4" t="inlineStr">
        <is>
          <t>TOEFL/IELTS/PTE (international graduate students)</t>
        </is>
      </c>
      <c r="F247" s="4" t="inlineStr">
        <is>
          <t>https://academiccatalog.umd.edu/graduate/programs/physics-phys/</t>
        </is>
      </c>
      <c r="G247" s="4" t="inlineStr"/>
      <c r="H247" s="4" t="inlineStr">
        <is>
          <t>2026-10-21</t>
        </is>
      </c>
    </row>
    <row r="248">
      <c r="A248" s="4" t="inlineStr">
        <is>
          <t>University of Maryland, College Park</t>
        </is>
      </c>
      <c r="B248" s="4" t="inlineStr">
        <is>
          <t>English-test waiver (English-medium degree)</t>
        </is>
      </c>
      <c r="C248" s="4" t="inlineStr">
        <is>
          <t>Not stated</t>
        </is>
      </c>
      <c r="D248" s="4" t="inlineStr">
        <is>
          <t>Not stated on the page checked</t>
        </is>
      </c>
      <c r="E248" s="4" t="inlineStr">
        <is>
          <t>(no statement found)</t>
        </is>
      </c>
      <c r="F248" s="4" t="inlineStr">
        <is>
          <t>https://academiccatalog.umd.edu/graduate/programs/physics-phys/</t>
        </is>
      </c>
      <c r="G248" s="4" t="inlineStr"/>
      <c r="H248" s="4" t="inlineStr">
        <is>
          <t>2026-10-21</t>
        </is>
      </c>
    </row>
    <row r="249">
      <c r="A249" s="4" t="inlineStr">
        <is>
          <t>University of Maryland, College Park</t>
        </is>
      </c>
      <c r="B249" s="4" t="inlineStr">
        <is>
          <t>Supervisor before admission</t>
        </is>
      </c>
      <c r="C249" s="4" t="inlineStr">
        <is>
          <t>Not stated</t>
        </is>
      </c>
      <c r="D249" s="4" t="inlineStr">
        <is>
          <t>No pre-application supervisor requirement mentioned</t>
        </is>
      </c>
      <c r="E249" s="4" t="inlineStr">
        <is>
          <t>(no statement found)</t>
        </is>
      </c>
      <c r="F249" s="4" t="inlineStr">
        <is>
          <t>https://academiccatalog.umd.edu/graduate/programs/physics-phys/</t>
        </is>
      </c>
      <c r="G249" s="4" t="inlineStr"/>
      <c r="H249" s="4" t="inlineStr">
        <is>
          <t>2026-10-21</t>
        </is>
      </c>
    </row>
    <row r="250">
      <c r="A250" s="4" t="inlineStr">
        <is>
          <t>University of Maryland, College Park</t>
        </is>
      </c>
      <c r="B250" s="4" t="inlineStr">
        <is>
          <t>PhD funding</t>
        </is>
      </c>
      <c r="C250" s="4" t="inlineStr">
        <is>
          <t>Typical</t>
        </is>
      </c>
      <c r="D250" s="4" t="inlineStr">
        <is>
          <t>Virtually all PhD students have full support for the duration</t>
        </is>
      </c>
      <c r="E250" s="4" t="inlineStr">
        <is>
          <t>Combined with fellowships in some cases, virtually all Ph.D. students have full financial support for the duration of their graduate studies.</t>
        </is>
      </c>
      <c r="F250" s="4" t="inlineStr">
        <is>
          <t>https://academiccatalog.umd.edu/graduate/programs/physics-phys/</t>
        </is>
      </c>
      <c r="G250" s="4" t="inlineStr"/>
      <c r="H250" s="4" t="inlineStr">
        <is>
          <t>2026-10-21</t>
        </is>
      </c>
    </row>
    <row r="251">
      <c r="A251" s="4" t="inlineStr">
        <is>
          <t>University of Maryland, College Park</t>
        </is>
      </c>
      <c r="B251" s="4" t="inlineStr">
        <is>
          <t>Entry route</t>
        </is>
      </c>
      <c r="C251" s="4" t="inlineStr">
        <is>
          <t>Not stated</t>
        </is>
      </c>
      <c r="D251" s="4" t="inlineStr">
        <is>
          <t>Not stated on the page checked</t>
        </is>
      </c>
      <c r="E251" s="4" t="inlineStr">
        <is>
          <t>(no statement found)</t>
        </is>
      </c>
      <c r="F251" s="4" t="inlineStr">
        <is>
          <t>https://academiccatalog.umd.edu/graduate/programs/physics-phys/</t>
        </is>
      </c>
      <c r="G251" s="4" t="inlineStr"/>
      <c r="H251" s="4" t="inlineStr">
        <is>
          <t>2026-10-21</t>
        </is>
      </c>
    </row>
    <row r="252">
      <c r="A252" s="4" t="inlineStr">
        <is>
          <t>University of Minnesota (Twin Cities)</t>
        </is>
      </c>
      <c r="B252" s="4" t="inlineStr">
        <is>
          <t>Deadline (Fall 2027)</t>
        </is>
      </c>
      <c r="C252" s="4" t="inlineStr">
        <is>
          <t>2026-12-15</t>
        </is>
      </c>
      <c r="D252" s="4" t="inlineStr">
        <is>
          <t>December 15 for the following fall (window September-December). Year inferred.</t>
        </is>
      </c>
      <c r="E252" s="4" t="inlineStr">
        <is>
          <t>All application materials must be submitted by our application deadline of DECEMBER 15th.</t>
        </is>
      </c>
      <c r="F252" s="4" t="inlineStr">
        <is>
          <t>https://cse.umn.edu/physics/graduate-admissions</t>
        </is>
      </c>
      <c r="G252" s="4" t="inlineStr">
        <is>
          <t>year inferred</t>
        </is>
      </c>
      <c r="H252" s="4" t="inlineStr">
        <is>
          <t>2026-10-21</t>
        </is>
      </c>
    </row>
    <row r="253">
      <c r="A253" s="4" t="inlineStr">
        <is>
          <t>University of Minnesota (Twin Cities)</t>
        </is>
      </c>
      <c r="B253" s="4" t="inlineStr">
        <is>
          <t>Application fee</t>
        </is>
      </c>
      <c r="C253" s="4" t="inlineStr">
        <is>
          <t>Not stated</t>
        </is>
      </c>
      <c r="D253" s="4" t="inlineStr">
        <is>
          <t>Amount not shown on the page checked; application incomplete until paid</t>
        </is>
      </c>
      <c r="E253" s="4" t="inlineStr">
        <is>
          <t>The online application is not complete until the application fee has been paid.</t>
        </is>
      </c>
      <c r="F253" s="4" t="inlineStr">
        <is>
          <t>https://cse.umn.edu/physics/graduate-admissions</t>
        </is>
      </c>
      <c r="G253" s="4" t="inlineStr"/>
      <c r="H253" s="4" t="inlineStr">
        <is>
          <t>2026-10-21</t>
        </is>
      </c>
    </row>
    <row r="254">
      <c r="A254" s="4" t="inlineStr">
        <is>
          <t>University of Minnesota (Twin Cities)</t>
        </is>
      </c>
      <c r="B254" s="4" t="inlineStr">
        <is>
          <t>Intl fee waiver</t>
        </is>
      </c>
      <c r="C254" s="4" t="inlineStr">
        <is>
          <t>Not stated</t>
        </is>
      </c>
      <c r="D254" s="4" t="inlineStr">
        <is>
          <t>Not stated on the page checked</t>
        </is>
      </c>
      <c r="E254" s="4" t="inlineStr">
        <is>
          <t>(no statement found)</t>
        </is>
      </c>
      <c r="F254" s="4" t="inlineStr">
        <is>
          <t>https://cse.umn.edu/physics/graduate-admissions</t>
        </is>
      </c>
      <c r="G254" s="4" t="inlineStr"/>
      <c r="H254" s="4" t="inlineStr">
        <is>
          <t>2026-10-21</t>
        </is>
      </c>
    </row>
    <row r="255">
      <c r="A255" s="4" t="inlineStr">
        <is>
          <t>University of Minnesota (Twin Cities)</t>
        </is>
      </c>
      <c r="B255" s="4" t="inlineStr">
        <is>
          <t>GRE General</t>
        </is>
      </c>
      <c r="C255" s="4" t="inlineStr">
        <is>
          <t>Not considered</t>
        </is>
      </c>
      <c r="D255" s="4" t="inlineStr">
        <is>
          <t>Not required and not used for decisions</t>
        </is>
      </c>
      <c r="E255" s="4" t="inlineStr">
        <is>
          <t>The University application page allows you to enter GRE results, but the Physics program does not use them for admission decisions.</t>
        </is>
      </c>
      <c r="F255" s="4" t="inlineStr">
        <is>
          <t>https://cse.umn.edu/physics/graduate-admissions</t>
        </is>
      </c>
      <c r="G255" s="4" t="inlineStr"/>
      <c r="H255" s="4" t="inlineStr">
        <is>
          <t>2026-10-21</t>
        </is>
      </c>
    </row>
    <row r="256">
      <c r="A256" s="4" t="inlineStr">
        <is>
          <t>University of Minnesota (Twin Cities)</t>
        </is>
      </c>
      <c r="B256" s="4" t="inlineStr">
        <is>
          <t>Physics GRE</t>
        </is>
      </c>
      <c r="C256" s="4" t="inlineStr">
        <is>
          <t>Not considered</t>
        </is>
      </c>
      <c r="D256" s="4" t="inlineStr">
        <is>
          <t>Not required and not used for decisions</t>
        </is>
      </c>
      <c r="E256" s="4" t="inlineStr">
        <is>
          <t>We do not require results from the GRE for admission.</t>
        </is>
      </c>
      <c r="F256" s="4" t="inlineStr">
        <is>
          <t>https://cse.umn.edu/physics/graduate-admissions</t>
        </is>
      </c>
      <c r="G256" s="4" t="inlineStr"/>
      <c r="H256" s="4" t="inlineStr">
        <is>
          <t>2026-10-21</t>
        </is>
      </c>
    </row>
    <row r="257">
      <c r="A257" s="4" t="inlineStr">
        <is>
          <t>University of Minnesota (Twin Cities)</t>
        </is>
      </c>
      <c r="B257" s="4" t="inlineStr">
        <is>
          <t>TOEFL minimum</t>
        </is>
      </c>
      <c r="C257" s="4" t="inlineStr">
        <is>
          <t>79</t>
        </is>
      </c>
      <c r="D257" s="4" t="inlineStr">
        <is>
          <t>TOEFL 79 total; IELTS 6.5 total</t>
        </is>
      </c>
      <c r="E257" s="4" t="inlineStr">
        <is>
          <t>Your total TOEFL score must be 79. | Your IELTS total score must be 6.5.</t>
        </is>
      </c>
      <c r="F257" s="4" t="inlineStr">
        <is>
          <t>https://cse.umn.edu/physics/graduate-admissions</t>
        </is>
      </c>
      <c r="G257" s="4" t="inlineStr"/>
      <c r="H257" s="4" t="inlineStr">
        <is>
          <t>2026-10-21</t>
        </is>
      </c>
    </row>
    <row r="258">
      <c r="A258" s="4" t="inlineStr">
        <is>
          <t>University of Minnesota (Twin Cities)</t>
        </is>
      </c>
      <c r="B258" s="4" t="inlineStr">
        <is>
          <t>English-test waiver (English-medium degree)</t>
        </is>
      </c>
      <c r="C258" s="4" t="inlineStr">
        <is>
          <t>Not stated</t>
        </is>
      </c>
      <c r="D258" s="4" t="inlineStr">
        <is>
          <t>Exemption rules not shown on the page checked</t>
        </is>
      </c>
      <c r="E258" s="4" t="inlineStr">
        <is>
          <t>(no statement found)</t>
        </is>
      </c>
      <c r="F258" s="4" t="inlineStr">
        <is>
          <t>https://cse.umn.edu/physics/graduate-admissions</t>
        </is>
      </c>
      <c r="G258" s="4" t="inlineStr"/>
      <c r="H258" s="4" t="inlineStr">
        <is>
          <t>2026-10-21</t>
        </is>
      </c>
    </row>
    <row r="259">
      <c r="A259" s="4" t="inlineStr">
        <is>
          <t>University of Minnesota (Twin Cities)</t>
        </is>
      </c>
      <c r="B259" s="4" t="inlineStr">
        <is>
          <t>Supervisor before admission</t>
        </is>
      </c>
      <c r="C259" s="4" t="inlineStr">
        <is>
          <t>Not stated</t>
        </is>
      </c>
      <c r="D259" s="4" t="inlineStr">
        <is>
          <t>No pre-application supervisor requirement mentioned</t>
        </is>
      </c>
      <c r="E259" s="4" t="inlineStr">
        <is>
          <t>(no statement found)</t>
        </is>
      </c>
      <c r="F259" s="4" t="inlineStr">
        <is>
          <t>https://cse.umn.edu/physics/graduate-admissions</t>
        </is>
      </c>
      <c r="G259" s="4" t="inlineStr"/>
      <c r="H259" s="4" t="inlineStr">
        <is>
          <t>2026-10-21</t>
        </is>
      </c>
    </row>
    <row r="260">
      <c r="A260" s="4" t="inlineStr">
        <is>
          <t>University of Minnesota (Twin Cities)</t>
        </is>
      </c>
      <c r="B260" s="4" t="inlineStr">
        <is>
          <t>PhD funding</t>
        </is>
      </c>
      <c r="C260" s="4" t="inlineStr">
        <is>
          <t>Not stated</t>
        </is>
      </c>
      <c r="D260" s="4" t="inlineStr">
        <is>
          <t>Not stated on the page checked</t>
        </is>
      </c>
      <c r="E260" s="4" t="inlineStr">
        <is>
          <t>(no statement found)</t>
        </is>
      </c>
      <c r="F260" s="4" t="inlineStr">
        <is>
          <t>https://cse.umn.edu/physics/graduate-admissions</t>
        </is>
      </c>
      <c r="G260" s="4" t="inlineStr"/>
      <c r="H260" s="4" t="inlineStr">
        <is>
          <t>2026-10-21</t>
        </is>
      </c>
    </row>
    <row r="261">
      <c r="A261" s="4" t="inlineStr">
        <is>
          <t>University of Minnesota (Twin Cities)</t>
        </is>
      </c>
      <c r="B261" s="4" t="inlineStr">
        <is>
          <t>Entry route</t>
        </is>
      </c>
      <c r="C261" s="4" t="inlineStr">
        <is>
          <t>Not stated</t>
        </is>
      </c>
      <c r="D261" s="4" t="inlineStr">
        <is>
          <t>Not stated on the page checked</t>
        </is>
      </c>
      <c r="E261" s="4" t="inlineStr">
        <is>
          <t>(no statement found)</t>
        </is>
      </c>
      <c r="F261" s="4" t="inlineStr">
        <is>
          <t>https://cse.umn.edu/physics/graduate-admissions</t>
        </is>
      </c>
      <c r="G261" s="4" t="inlineStr"/>
      <c r="H261" s="4" t="inlineStr">
        <is>
          <t>2026-10-21</t>
        </is>
      </c>
    </row>
    <row r="262">
      <c r="A262" s="4" t="inlineStr">
        <is>
          <t>University of Ottawa (Ottawa-Carleton Institute for Physics)</t>
        </is>
      </c>
      <c r="B262" s="4" t="inlineStr">
        <is>
          <t>Deadline (Fall 2027)</t>
        </is>
      </c>
      <c r="C262" s="4" t="inlineStr">
        <is>
          <t>Not stated</t>
        </is>
      </c>
      <c r="D262" s="4" t="inlineStr">
        <is>
          <t>Physics-specific deadline not shown on the catalogue page checked</t>
        </is>
      </c>
      <c r="E262" s="4" t="inlineStr">
        <is>
          <t>(no statement found)</t>
        </is>
      </c>
      <c r="F262" s="4" t="inlineStr">
        <is>
          <t>https://catalogue.uottawa.ca/en/graduate/doctorate-philosophy-physics/</t>
        </is>
      </c>
      <c r="G262" s="4" t="inlineStr"/>
      <c r="H262" s="4" t="inlineStr">
        <is>
          <t>2026-10-21</t>
        </is>
      </c>
    </row>
    <row r="263">
      <c r="A263" s="4" t="inlineStr">
        <is>
          <t>University of Ottawa (Ottawa-Carleton Institute for Physics)</t>
        </is>
      </c>
      <c r="B263" s="4" t="inlineStr">
        <is>
          <t>Application fee</t>
        </is>
      </c>
      <c r="C263" s="4" t="inlineStr">
        <is>
          <t>Not stated</t>
        </is>
      </c>
      <c r="D263" s="4" t="inlineStr">
        <is>
          <t>Not shown on the page checked</t>
        </is>
      </c>
      <c r="E263" s="4" t="inlineStr">
        <is>
          <t>(no statement found)</t>
        </is>
      </c>
      <c r="F263" s="4" t="inlineStr">
        <is>
          <t>https://catalogue.uottawa.ca/en/graduate/doctorate-philosophy-physics/</t>
        </is>
      </c>
      <c r="G263" s="4" t="inlineStr"/>
      <c r="H263" s="4" t="inlineStr">
        <is>
          <t>2026-10-21</t>
        </is>
      </c>
    </row>
    <row r="264">
      <c r="A264" s="4" t="inlineStr">
        <is>
          <t>University of Ottawa (Ottawa-Carleton Institute for Physics)</t>
        </is>
      </c>
      <c r="B264" s="4" t="inlineStr">
        <is>
          <t>Intl fee waiver</t>
        </is>
      </c>
      <c r="C264" s="4" t="inlineStr">
        <is>
          <t>Not stated</t>
        </is>
      </c>
      <c r="D264" s="4" t="inlineStr">
        <is>
          <t>Not stated on the page checked</t>
        </is>
      </c>
      <c r="E264" s="4" t="inlineStr">
        <is>
          <t>(no statement found)</t>
        </is>
      </c>
      <c r="F264" s="4" t="inlineStr">
        <is>
          <t>https://catalogue.uottawa.ca/en/graduate/doctorate-philosophy-physics/</t>
        </is>
      </c>
      <c r="G264" s="4" t="inlineStr"/>
      <c r="H264" s="4" t="inlineStr">
        <is>
          <t>2026-10-21</t>
        </is>
      </c>
    </row>
    <row r="265">
      <c r="A265" s="4" t="inlineStr">
        <is>
          <t>University of Ottawa (Ottawa-Carleton Institute for Physics)</t>
        </is>
      </c>
      <c r="B265" s="4" t="inlineStr">
        <is>
          <t>GRE General</t>
        </is>
      </c>
      <c r="C265" s="4" t="inlineStr">
        <is>
          <t>Not stated</t>
        </is>
      </c>
      <c r="D265" s="4" t="inlineStr">
        <is>
          <t>Not stated on the page checked</t>
        </is>
      </c>
      <c r="E265" s="4" t="inlineStr">
        <is>
          <t>(no statement found)</t>
        </is>
      </c>
      <c r="F265" s="4" t="inlineStr">
        <is>
          <t>https://catalogue.uottawa.ca/en/graduate/doctorate-philosophy-physics/</t>
        </is>
      </c>
      <c r="G265" s="4" t="inlineStr"/>
      <c r="H265" s="4" t="inlineStr">
        <is>
          <t>2026-10-21</t>
        </is>
      </c>
    </row>
    <row r="266">
      <c r="A266" s="4" t="inlineStr">
        <is>
          <t>University of Ottawa (Ottawa-Carleton Institute for Physics)</t>
        </is>
      </c>
      <c r="B266" s="4" t="inlineStr">
        <is>
          <t>Physics GRE</t>
        </is>
      </c>
      <c r="C266" s="4" t="inlineStr">
        <is>
          <t>Not stated</t>
        </is>
      </c>
      <c r="D266" s="4" t="inlineStr">
        <is>
          <t>Not stated on the page checked</t>
        </is>
      </c>
      <c r="E266" s="4" t="inlineStr">
        <is>
          <t>(no statement found)</t>
        </is>
      </c>
      <c r="F266" s="4" t="inlineStr">
        <is>
          <t>https://catalogue.uottawa.ca/en/graduate/doctorate-philosophy-physics/</t>
        </is>
      </c>
      <c r="G266" s="4" t="inlineStr"/>
      <c r="H266" s="4" t="inlineStr">
        <is>
          <t>2026-10-21</t>
        </is>
      </c>
    </row>
    <row r="267">
      <c r="A267" s="4" t="inlineStr">
        <is>
          <t>University of Ottawa (Ottawa-Carleton Institute for Physics)</t>
        </is>
      </c>
      <c r="B267" s="4" t="inlineStr">
        <is>
          <t>TOEFL minimum</t>
        </is>
      </c>
      <c r="C267" s="4" t="inlineStr">
        <is>
          <t>Not stated</t>
        </is>
      </c>
      <c r="D267" s="4" t="inlineStr">
        <is>
          <t>Proof of proficiency required if first language is neither French nor English; minimum not shown</t>
        </is>
      </c>
      <c r="E267" s="4" t="inlineStr">
        <is>
          <t>Applicants whose first language is neither French nor English must provide proof of proficiency in the language of instruction.</t>
        </is>
      </c>
      <c r="F267" s="4" t="inlineStr">
        <is>
          <t>https://catalogue.uottawa.ca/en/graduate/doctorate-philosophy-physics/</t>
        </is>
      </c>
      <c r="G267" s="4" t="inlineStr"/>
      <c r="H267" s="4" t="inlineStr">
        <is>
          <t>2026-10-21</t>
        </is>
      </c>
    </row>
    <row r="268">
      <c r="A268" s="4" t="inlineStr">
        <is>
          <t>University of Ottawa (Ottawa-Carleton Institute for Physics)</t>
        </is>
      </c>
      <c r="B268" s="4" t="inlineStr">
        <is>
          <t>English-test waiver (English-medium degree)</t>
        </is>
      </c>
      <c r="C268" s="4" t="inlineStr">
        <is>
          <t>Not stated</t>
        </is>
      </c>
      <c r="D268" s="4" t="inlineStr">
        <is>
          <t>Exemption rules not shown on the page checked</t>
        </is>
      </c>
      <c r="E268" s="4" t="inlineStr">
        <is>
          <t>(no statement found)</t>
        </is>
      </c>
      <c r="F268" s="4" t="inlineStr">
        <is>
          <t>https://catalogue.uottawa.ca/en/graduate/doctorate-philosophy-physics/</t>
        </is>
      </c>
      <c r="G268" s="4" t="inlineStr"/>
      <c r="H268" s="4" t="inlineStr">
        <is>
          <t>2026-10-21</t>
        </is>
      </c>
    </row>
    <row r="269">
      <c r="A269" s="4" t="inlineStr">
        <is>
          <t>University of Ottawa (Ottawa-Carleton Institute for Physics)</t>
        </is>
      </c>
      <c r="B269" s="4" t="inlineStr">
        <is>
          <t>Supervisor before admission</t>
        </is>
      </c>
      <c r="C269" s="4" t="inlineStr">
        <is>
          <t>Required</t>
        </is>
      </c>
      <c r="D269" s="4" t="inlineStr">
        <is>
          <t>Supervisor's name required AT APPLICATION; you must be accepted by a thesis supervisor to register</t>
        </is>
      </c>
      <c r="E269" s="4" t="inlineStr">
        <is>
          <t>Identify at least one professor who is willing to supervise your research and thesis. We recommend that you contact potential thesis supervisors as soon as possible. To register, you need to have been accepted by a thesis supervisor. The supervisor’s name is required at the time of application.</t>
        </is>
      </c>
      <c r="F269" s="4" t="inlineStr">
        <is>
          <t>https://catalogue.uottawa.ca/en/graduate/doctorate-philosophy-physics/</t>
        </is>
      </c>
      <c r="G269" s="4" t="inlineStr"/>
      <c r="H269" s="4" t="inlineStr">
        <is>
          <t>2026-10-21</t>
        </is>
      </c>
    </row>
    <row r="270">
      <c r="A270" s="4" t="inlineStr">
        <is>
          <t>University of Ottawa (Ottawa-Carleton Institute for Physics)</t>
        </is>
      </c>
      <c r="B270" s="4" t="inlineStr">
        <is>
          <t>PhD funding</t>
        </is>
      </c>
      <c r="C270" s="4" t="inlineStr">
        <is>
          <t>Not stated</t>
        </is>
      </c>
      <c r="D270" s="4" t="inlineStr">
        <is>
          <t>International students must show financial support (supervisor stipend plus awards/trust funds)</t>
        </is>
      </c>
      <c r="E270" s="4" t="inlineStr">
        <is>
          <t>Note: International students must provide proof of financial support: i.e., a stipend provided by a supervisor as well as a combination of awards and/or trust funds.</t>
        </is>
      </c>
      <c r="F270" s="4" t="inlineStr">
        <is>
          <t>https://catalogue.uottawa.ca/en/graduate/doctorate-philosophy-physics/</t>
        </is>
      </c>
      <c r="G270" s="4" t="inlineStr"/>
      <c r="H270" s="4" t="inlineStr">
        <is>
          <t>2026-10-21</t>
        </is>
      </c>
    </row>
    <row r="271">
      <c r="A271" s="4" t="inlineStr">
        <is>
          <t>University of Ottawa (Ottawa-Carleton Institute for Physics)</t>
        </is>
      </c>
      <c r="B271" s="4" t="inlineStr">
        <is>
          <t>Entry route</t>
        </is>
      </c>
      <c r="C271" s="4" t="inlineStr">
        <is>
          <t>Master's usually required</t>
        </is>
      </c>
      <c r="D271" s="4" t="inlineStr">
        <is>
          <t>Master's in physics (or equivalent) with 75% (B+); MSc fast-track to PhD possible</t>
        </is>
      </c>
      <c r="E271" s="4" t="inlineStr">
        <is>
          <t>Be the holder of a master’s degree in physics (or equivalent) with a minimum average of 75% (B+).</t>
        </is>
      </c>
      <c r="F271" s="4" t="inlineStr">
        <is>
          <t>https://catalogue.uottawa.ca/en/graduate/doctorate-philosophy-physics/</t>
        </is>
      </c>
      <c r="G271" s="4" t="inlineStr"/>
      <c r="H271" s="4" t="inlineStr">
        <is>
          <t>2026-10-21</t>
        </is>
      </c>
    </row>
    <row r="272">
      <c r="A272" s="4" t="inlineStr">
        <is>
          <t>University of Texas at Austin</t>
        </is>
      </c>
      <c r="B272" s="4" t="inlineStr">
        <is>
          <t>Deadline (Fall 2027)</t>
        </is>
      </c>
      <c r="C272" s="4" t="inlineStr">
        <is>
          <t>2026-12-01</t>
        </is>
      </c>
      <c r="D272" s="4" t="inlineStr">
        <is>
          <t>1 December, 11:59 p.m. CST for Fall admission (one-week grace period stated). Year inferred for Fall 2027.</t>
        </is>
      </c>
      <c r="E272" s="4" t="inlineStr">
        <is>
          <t>11:59 p.m. CST on 1 December for Fall admission. We allow a grace period of precisely one (1) calendar week following each of the deadlines</t>
        </is>
      </c>
      <c r="F272" s="4" t="inlineStr">
        <is>
          <t>https://physics.utexas.edu/academics/admissions</t>
        </is>
      </c>
      <c r="G272" s="4" t="inlineStr">
        <is>
          <t>year inferred</t>
        </is>
      </c>
      <c r="H272" s="4" t="inlineStr">
        <is>
          <t>2026-10-21</t>
        </is>
      </c>
    </row>
    <row r="273">
      <c r="A273" s="4" t="inlineStr">
        <is>
          <t>University of Texas at Austin</t>
        </is>
      </c>
      <c r="B273" s="4" t="inlineStr">
        <is>
          <t>Application fee</t>
        </is>
      </c>
      <c r="C273" s="4" t="inlineStr">
        <is>
          <t>90 USD</t>
        </is>
      </c>
      <c r="D273" s="4" t="inlineStr">
        <is>
          <t>USD 90 for non-U.S. citizens (USD 65 U.S./PR)</t>
        </is>
      </c>
      <c r="E273" s="4" t="inlineStr">
        <is>
          <t>The fee is $65 for United States citizens or permanent residents, and $90 for non-U.S. citizens.</t>
        </is>
      </c>
      <c r="F273" s="4" t="inlineStr">
        <is>
          <t>https://physics.utexas.edu/academics/admissions</t>
        </is>
      </c>
      <c r="G273" s="4" t="inlineStr"/>
      <c r="H273" s="4" t="inlineStr">
        <is>
          <t>2026-10-21</t>
        </is>
      </c>
    </row>
    <row r="274">
      <c r="A274" s="4" t="inlineStr">
        <is>
          <t>University of Texas at Austin</t>
        </is>
      </c>
      <c r="B274" s="4" t="inlineStr">
        <is>
          <t>Intl fee waiver</t>
        </is>
      </c>
      <c r="C274" s="4" t="inlineStr">
        <is>
          <t>Limited</t>
        </is>
      </c>
      <c r="D274" s="4" t="inlineStr">
        <is>
          <t>Graduate School waivers for applicants meeting certain criteria; department not involved. Check criteria for international eligibility.</t>
        </is>
      </c>
      <c r="E274" s="4" t="inlineStr">
        <is>
          <t>The Graduate School provides fee waivers to applicants who meet certain criteria. The Department is not involved in either the fee payment or fee waiver processes.</t>
        </is>
      </c>
      <c r="F274" s="4" t="inlineStr">
        <is>
          <t>https://physics.utexas.edu/academics/admissions</t>
        </is>
      </c>
      <c r="G274" s="4" t="inlineStr"/>
      <c r="H274" s="4" t="inlineStr">
        <is>
          <t>2026-10-21</t>
        </is>
      </c>
    </row>
    <row r="275">
      <c r="A275" s="4" t="inlineStr">
        <is>
          <t>University of Texas at Austin</t>
        </is>
      </c>
      <c r="B275" s="4" t="inlineStr">
        <is>
          <t>GRE General</t>
        </is>
      </c>
      <c r="C275" s="4" t="inlineStr">
        <is>
          <t>Not considered</t>
        </is>
      </c>
      <c r="D275" s="4" t="inlineStr">
        <is>
          <t>Not required and not considered if submitted</t>
        </is>
      </c>
      <c r="E275" s="4" t="inlineStr">
        <is>
          <t>The General Graduate Record Examination (GRE) is not required and will not be considered as part of your application if submitted.</t>
        </is>
      </c>
      <c r="F275" s="4" t="inlineStr">
        <is>
          <t>https://physics.utexas.edu/academics/admissions</t>
        </is>
      </c>
      <c r="G275" s="4" t="inlineStr"/>
      <c r="H275" s="4" t="inlineStr">
        <is>
          <t>2026-10-21</t>
        </is>
      </c>
    </row>
    <row r="276">
      <c r="A276" s="4" t="inlineStr">
        <is>
          <t>University of Texas at Austin</t>
        </is>
      </c>
      <c r="B276" s="4" t="inlineStr">
        <is>
          <t>Physics GRE</t>
        </is>
      </c>
      <c r="C276" s="4" t="inlineStr">
        <is>
          <t>Optional</t>
        </is>
      </c>
      <c r="D276" s="4" t="inlineStr">
        <is>
          <t>Optional; if submitted you must justify it in the Statement of Purpose or it is ignored</t>
        </is>
      </c>
      <c r="E276" s="4" t="inlineStr">
        <is>
          <t>The GRE Subject Test in Physics (pGRE) is optional; if you choose to submit a pGRE score you must make a clear case (in your required Statement of Purpose) for why you believe it is integral to your application, otherwise, it will not be considered</t>
        </is>
      </c>
      <c r="F276" s="4" t="inlineStr">
        <is>
          <t>https://physics.utexas.edu/academics/admissions</t>
        </is>
      </c>
      <c r="G276" s="4" t="inlineStr"/>
      <c r="H276" s="4" t="inlineStr">
        <is>
          <t>2026-10-21</t>
        </is>
      </c>
    </row>
    <row r="277">
      <c r="A277" s="4" t="inlineStr">
        <is>
          <t>University of Texas at Austin</t>
        </is>
      </c>
      <c r="B277" s="4" t="inlineStr">
        <is>
          <t>TOEFL minimum</t>
        </is>
      </c>
      <c r="C277" s="4" t="inlineStr">
        <is>
          <t>79</t>
        </is>
      </c>
      <c r="D277" s="4" t="inlineStr">
        <is>
          <t>TOEFL 79 (or 4 on the 6-point scale); IELTS 6.5. The physics page says Duolingo is not accepted, while the university international page lists DET 115; confirm before relying on Duolingo.</t>
        </is>
      </c>
      <c r="E277" s="4" t="inlineStr">
        <is>
          <t>TOEFL: 79 on the Internet-based test (iBT); IELTS: An overall band of 6.5 on the Academic Examination. | The Institutional TOEFL (ITP) and the IELTS General Training, and alternatives (ex: Duolingo) are not accepted.</t>
        </is>
      </c>
      <c r="F277" s="4" t="inlineStr">
        <is>
          <t>https://physics.utexas.edu/academics/admissions</t>
        </is>
      </c>
      <c r="G277" s="4" t="inlineStr">
        <is>
          <t>sources conflict</t>
        </is>
      </c>
      <c r="H277" s="4" t="inlineStr">
        <is>
          <t>2026-10-21</t>
        </is>
      </c>
    </row>
    <row r="278">
      <c r="A278" s="4" t="inlineStr">
        <is>
          <t>University of Texas at Austin</t>
        </is>
      </c>
      <c r="B278" s="4" t="inlineStr">
        <is>
          <t>English-test waiver (English-medium degree)</t>
        </is>
      </c>
      <c r="C278" s="4" t="inlineStr">
        <is>
          <t>Yes</t>
        </is>
      </c>
      <c r="D278" s="4" t="inlineStr">
        <is>
          <t>India is on UT's list of qualifying countries exempt from TOEFL/IELTS (also exempt with a bachelor's from a U.S./qualifying-country institution)</t>
        </is>
      </c>
      <c r="E278" s="4" t="inlineStr">
        <is>
          <t>Students from the following countries are exempt from the TOEFL/IELTS requirement: American Samoa Australia Bahamas Barbados Belize Canada (except Quebec) Dominica Ghana Grenada Grand Cayman Guyana India Ireland ...</t>
        </is>
      </c>
      <c r="F278" s="4" t="inlineStr">
        <is>
          <t>https://admissions.utexas.edu/info-for/international-students/</t>
        </is>
      </c>
      <c r="G278" s="4" t="inlineStr"/>
      <c r="H278" s="4" t="inlineStr">
        <is>
          <t>2026-10-21</t>
        </is>
      </c>
    </row>
    <row r="279">
      <c r="A279" s="4" t="inlineStr">
        <is>
          <t>University of Texas at Austin</t>
        </is>
      </c>
      <c r="B279" s="4" t="inlineStr">
        <is>
          <t>Supervisor before admission</t>
        </is>
      </c>
      <c r="C279" s="4" t="inlineStr">
        <is>
          <t>Not stated</t>
        </is>
      </c>
      <c r="D279" s="4" t="inlineStr">
        <is>
          <t>Admission is decided by the department committee; no pre-application supervisor requirement mentioned on the pages checked</t>
        </is>
      </c>
      <c r="E279" s="4" t="inlineStr">
        <is>
          <t>(no statement found)</t>
        </is>
      </c>
      <c r="F279" s="4" t="inlineStr">
        <is>
          <t>https://physics.utexas.edu/academics/admissions</t>
        </is>
      </c>
      <c r="G279" s="4" t="inlineStr"/>
      <c r="H279" s="4" t="inlineStr">
        <is>
          <t>2026-10-21</t>
        </is>
      </c>
    </row>
    <row r="280">
      <c r="A280" s="4" t="inlineStr">
        <is>
          <t>University of Texas at Austin</t>
        </is>
      </c>
      <c r="B280" s="4" t="inlineStr">
        <is>
          <t>PhD funding</t>
        </is>
      </c>
      <c r="C280" s="4" t="inlineStr">
        <is>
          <t>Not stated</t>
        </is>
      </c>
      <c r="D280" s="4" t="inlineStr">
        <is>
          <t>PhD funding terms not stated on the admissions page (master's applicants get no support)</t>
        </is>
      </c>
      <c r="E280" s="4" t="inlineStr">
        <is>
          <t>Please note: Admitted Master’s applicants are not awarded financial support regardless of semester.</t>
        </is>
      </c>
      <c r="F280" s="4" t="inlineStr">
        <is>
          <t>https://physics.utexas.edu/academics/admissions</t>
        </is>
      </c>
      <c r="G280" s="4" t="inlineStr"/>
      <c r="H280" s="4" t="inlineStr">
        <is>
          <t>2026-10-21</t>
        </is>
      </c>
    </row>
    <row r="281">
      <c r="A281" s="4" t="inlineStr">
        <is>
          <t>University of Texas at Austin</t>
        </is>
      </c>
      <c r="B281" s="4" t="inlineStr">
        <is>
          <t>Entry route</t>
        </is>
      </c>
      <c r="C281" s="4" t="inlineStr">
        <is>
          <t>Direct from bachelor's</t>
        </is>
      </c>
      <c r="D281" s="4" t="inlineStr">
        <is>
          <t>Bachelor's (U.S. or equivalent in length and rigor) required before matriculation</t>
        </is>
      </c>
      <c r="E281" s="4" t="inlineStr">
        <is>
          <t>the University requires all applicants to have completed a bachelor's degree from an accredited U.S. college or university or an international degree equivalent to a U.S. bachelor’s degree in both length and rigor.</t>
        </is>
      </c>
      <c r="F281" s="4" t="inlineStr">
        <is>
          <t>https://physics.utexas.edu/academics/admissions</t>
        </is>
      </c>
      <c r="G281" s="4" t="inlineStr"/>
      <c r="H281" s="4" t="inlineStr">
        <is>
          <t>2026-10-21</t>
        </is>
      </c>
    </row>
    <row r="282">
      <c r="A282" s="4" t="inlineStr">
        <is>
          <t>University of Toronto</t>
        </is>
      </c>
      <c r="B282" s="4" t="inlineStr">
        <is>
          <t>Deadline (Fall 2027)</t>
        </is>
      </c>
      <c r="C282" s="4" t="inlineStr">
        <is>
          <t>2026-12-11</t>
        </is>
      </c>
      <c r="D282" s="4" t="inlineStr">
        <is>
          <t>December 11, 11:59pm, all materials including both reference letters. Year inferred for September 2027 entry.</t>
        </is>
      </c>
      <c r="E282" s="4" t="inlineStr">
        <is>
          <t>Application opens on September 16th. The application deadline is December 11th. The December 11th, 11:59pm deadline is the date by which all application materials must be submitted</t>
        </is>
      </c>
      <c r="F282" s="4" t="inlineStr">
        <is>
          <t>https://www.physics.utoronto.ca/graduate/prospective-students/graduate-admissions-department-physics/application-procedure/</t>
        </is>
      </c>
      <c r="G282" s="4" t="inlineStr">
        <is>
          <t>year inferred</t>
        </is>
      </c>
      <c r="H282" s="4" t="inlineStr">
        <is>
          <t>2026-10-21</t>
        </is>
      </c>
    </row>
    <row r="283">
      <c r="A283" s="4" t="inlineStr">
        <is>
          <t>University of Toronto</t>
        </is>
      </c>
      <c r="B283" s="4" t="inlineStr">
        <is>
          <t>Application fee</t>
        </is>
      </c>
      <c r="C283" s="4" t="inlineStr">
        <is>
          <t>135 CAD</t>
        </is>
      </c>
      <c r="D283" s="4" t="inlineStr">
        <is>
          <t>CAD 135 per the application-procedure page; another department page still says CAD 130. Budget for 135.</t>
        </is>
      </c>
      <c r="E283" s="4" t="inlineStr">
        <is>
          <t>Applicants should complete their application and pay the $135 CAD application fee | We recommend that applicants complete their application and pay the $130 CAD application fee</t>
        </is>
      </c>
      <c r="F283" s="4" t="inlineStr">
        <is>
          <t>https://www.physics.utoronto.ca/graduate/prospective-students/graduate-admissions-department-physics/application-procedure/</t>
        </is>
      </c>
      <c r="G283" s="4" t="inlineStr">
        <is>
          <t>sources conflict</t>
        </is>
      </c>
      <c r="H283" s="4" t="inlineStr">
        <is>
          <t>2026-10-21</t>
        </is>
      </c>
    </row>
    <row r="284">
      <c r="A284" s="4" t="inlineStr">
        <is>
          <t>University of Toronto</t>
        </is>
      </c>
      <c r="B284" s="4" t="inlineStr">
        <is>
          <t>Intl fee waiver</t>
        </is>
      </c>
      <c r="C284" s="4" t="inlineStr">
        <is>
          <t>None</t>
        </is>
      </c>
      <c r="D284" s="4" t="inlineStr">
        <is>
          <t>Fee cannot be waived under any circumstances</t>
        </is>
      </c>
      <c r="E284" s="4" t="inlineStr">
        <is>
          <t>No, the application fee cannot be waived under any circumstances.</t>
        </is>
      </c>
      <c r="F284" s="4" t="inlineStr">
        <is>
          <t>https://www.physics.utoronto.ca/graduate/prospective-students/graduate-admissions-department-physics/frequently-asked-questions/</t>
        </is>
      </c>
      <c r="G284" s="4" t="inlineStr"/>
      <c r="H284" s="4" t="inlineStr">
        <is>
          <t>2026-10-21</t>
        </is>
      </c>
    </row>
    <row r="285">
      <c r="A285" s="4" t="inlineStr">
        <is>
          <t>University of Toronto</t>
        </is>
      </c>
      <c r="B285" s="4" t="inlineStr">
        <is>
          <t>GRE General</t>
        </is>
      </c>
      <c r="C285" s="4" t="inlineStr">
        <is>
          <t>Not required</t>
        </is>
      </c>
      <c r="D285" s="4" t="inlineStr">
        <is>
          <t>GRE not required</t>
        </is>
      </c>
      <c r="E285" s="4" t="inlineStr">
        <is>
          <t>GRE scores are not required.</t>
        </is>
      </c>
      <c r="F285" s="4" t="inlineStr">
        <is>
          <t>https://www.physics.utoronto.ca/graduate/prospective-students/graduate-admissions-department-physics/application-procedure/</t>
        </is>
      </c>
      <c r="G285" s="4" t="inlineStr"/>
      <c r="H285" s="4" t="inlineStr">
        <is>
          <t>2026-10-21</t>
        </is>
      </c>
    </row>
    <row r="286">
      <c r="A286" s="4" t="inlineStr">
        <is>
          <t>University of Toronto</t>
        </is>
      </c>
      <c r="B286" s="4" t="inlineStr">
        <is>
          <t>Physics GRE</t>
        </is>
      </c>
      <c r="C286" s="4" t="inlineStr">
        <is>
          <t>Not required</t>
        </is>
      </c>
      <c r="D286" s="4" t="inlineStr">
        <is>
          <t>Neither GRE general nor subject is required</t>
        </is>
      </c>
      <c r="E286" s="4" t="inlineStr">
        <is>
          <t>Do I need to take the GRE general and subject exams? There is no requirement to take these examinations.</t>
        </is>
      </c>
      <c r="F286" s="4" t="inlineStr">
        <is>
          <t>https://www.physics.utoronto.ca/graduate/prospective-students/graduate-admissions-department-physics/frequently-asked-questions/</t>
        </is>
      </c>
      <c r="G286" s="4" t="inlineStr"/>
      <c r="H286" s="4" t="inlineStr">
        <is>
          <t>2026-10-21</t>
        </is>
      </c>
    </row>
    <row r="287">
      <c r="A287" s="4" t="inlineStr">
        <is>
          <t>University of Toronto</t>
        </is>
      </c>
      <c r="B287" s="4" t="inlineStr">
        <is>
          <t>TOEFL minimum</t>
        </is>
      </c>
      <c r="C287" s="4" t="inlineStr">
        <is>
          <t>93</t>
        </is>
      </c>
      <c r="D287" s="4" t="inlineStr">
        <is>
          <t>TOEFL iBT overall 93 (SGS minimum; plus a writing/essay minimum). TOEFL moved to a 1-6 scale on Jan 21, 2026; both scales accepted.</t>
        </is>
      </c>
      <c r="E287" s="4" t="inlineStr">
        <is>
          <t>Overall Score: 93</t>
        </is>
      </c>
      <c r="F287" s="4" t="inlineStr">
        <is>
          <t>https://www.sgs.utoronto.ca/future-students/admission-application-requirements/english-language-proficiency-testing/</t>
        </is>
      </c>
      <c r="G287" s="4" t="inlineStr"/>
      <c r="H287" s="4" t="inlineStr">
        <is>
          <t>2026-10-21</t>
        </is>
      </c>
    </row>
    <row r="288">
      <c r="A288" s="4" t="inlineStr">
        <is>
          <t>University of Toronto</t>
        </is>
      </c>
      <c r="B288" s="4" t="inlineStr">
        <is>
          <t>English-test waiver (English-medium degree)</t>
        </is>
      </c>
      <c r="C288" s="4" t="inlineStr">
        <is>
          <t>Yes</t>
        </is>
      </c>
      <c r="D288" s="4" t="inlineStr">
        <is>
          <t>No test if your degree is from a university where instruction AND examination are in English; an official letter is needed unless the transcript says so</t>
        </is>
      </c>
      <c r="E288" s="4" t="inlineStr">
        <is>
          <t>Submission of an acceptable EFT score is NOT required for applicants who have completed or expect to complete a program of study at a university where the language of instruction and examination is English. An official letter from the university confirming English instruction and examination will be required, unless there is an appropriate notation on the transcript.</t>
        </is>
      </c>
      <c r="F288" s="4" t="inlineStr">
        <is>
          <t>https://www.physics.utoronto.ca/graduate/prospective-students/graduate-admissions-department-physics/application-procedure/</t>
        </is>
      </c>
      <c r="G288" s="4" t="inlineStr"/>
      <c r="H288" s="4" t="inlineStr">
        <is>
          <t>2026-10-21</t>
        </is>
      </c>
    </row>
    <row r="289">
      <c r="A289" s="4" t="inlineStr">
        <is>
          <t>University of Toronto</t>
        </is>
      </c>
      <c r="B289" s="4" t="inlineStr">
        <is>
          <t>Supervisor before admission</t>
        </is>
      </c>
      <c r="C289" s="4" t="inlineStr">
        <is>
          <t>Not required</t>
        </is>
      </c>
      <c r="D289" s="4" t="inlineStr">
        <is>
          <t>No supervisor needed to apply; MSc and 5-year direct-entry PhD students pick one after arrival; 4-year PhD entrants (with a master's) must secure one before registration, typically by May</t>
        </is>
      </c>
      <c r="E289" s="4" t="inlineStr">
        <is>
          <t>Students admitted to the MSc and (5-year) direct-entry PhD programs are not required to secure a supervisor prior to arrival on campus. | students starting their first year to the (4-year) PhD program are required to secure a supervisor prior to registration. Typically, newly admitted PhD students will secure their supervisor by May.  ||  There is no requirement to secure a supervisor prior to application. (https://www.physics.utoronto.ca/graduate/prospective-students/graduate-admissions-department-physics/application-procedure/)</t>
        </is>
      </c>
      <c r="F289" s="4" t="inlineStr">
        <is>
          <t>https://www.physics.utoronto.ca/graduate/prospective-students/graduate-admissions-department-physics/frequently-asked-questions/</t>
        </is>
      </c>
      <c r="G289" s="4" t="inlineStr"/>
      <c r="H289" s="4" t="inlineStr">
        <is>
          <t>2026-10-21</t>
        </is>
      </c>
    </row>
    <row r="290">
      <c r="A290" s="4" t="inlineStr">
        <is>
          <t>University of Toronto</t>
        </is>
      </c>
      <c r="B290" s="4" t="inlineStr">
        <is>
          <t>PhD funding</t>
        </is>
      </c>
      <c r="C290" s="4" t="inlineStr">
        <is>
          <t>Not stated</t>
        </is>
      </c>
      <c r="D290" s="4" t="inlineStr">
        <is>
          <t>Funding package not described on the admissions pages checked</t>
        </is>
      </c>
      <c r="E290" s="4" t="inlineStr">
        <is>
          <t>(no statement found)</t>
        </is>
      </c>
      <c r="F290" s="4" t="inlineStr">
        <is>
          <t>https://www.physics.utoronto.ca/graduate/prospective-students/graduate-admissions-department-physics/</t>
        </is>
      </c>
      <c r="G290" s="4" t="inlineStr"/>
      <c r="H290" s="4" t="inlineStr">
        <is>
          <t>2026-10-21</t>
        </is>
      </c>
    </row>
    <row r="291">
      <c r="A291" s="4" t="inlineStr">
        <is>
          <t>University of Toronto</t>
        </is>
      </c>
      <c r="B291" s="4" t="inlineStr">
        <is>
          <t>Entry route</t>
        </is>
      </c>
      <c r="C291" s="4" t="inlineStr">
        <is>
          <t>Either</t>
        </is>
      </c>
      <c r="D291" s="4" t="inlineStr">
        <is>
          <t>Apply to MSc or PhD; all MSc applicants are considered for 5-year direct-entry PhD</t>
        </is>
      </c>
      <c r="E291" s="4" t="inlineStr">
        <is>
          <t>Our Admission Committee will consider all MSc applicants for direct entry to the PhD program, so there is no need to submit more than one application.</t>
        </is>
      </c>
      <c r="F291" s="4" t="inlineStr">
        <is>
          <t>https://www.physics.utoronto.ca/graduate/prospective-students/graduate-admissions-department-physics/application-procedure/</t>
        </is>
      </c>
      <c r="G291" s="4" t="inlineStr"/>
      <c r="H291" s="4" t="inlineStr">
        <is>
          <t>2026-10-21</t>
        </is>
      </c>
    </row>
    <row r="292">
      <c r="A292" s="4" t="inlineStr">
        <is>
          <t>University of Waterloo</t>
        </is>
      </c>
      <c r="B292" s="4" t="inlineStr">
        <is>
          <t>Deadline (Fall 2027)</t>
        </is>
      </c>
      <c r="C292" s="4" t="inlineStr">
        <is>
          <t>2027-01-09</t>
        </is>
      </c>
      <c r="D292" s="4" t="inlineStr">
        <is>
          <t>January 9 for September admission (early applications encouraged). Year inferred for September 2027 entry.</t>
        </is>
      </c>
      <c r="E292" s="4" t="inlineStr">
        <is>
          <t>January 9 (for admission in September, early applications encouraged)</t>
        </is>
      </c>
      <c r="F292" s="4" t="inlineStr">
        <is>
          <t>https://uwaterloo.ca/physics-astronomy/graduate-studies/how-apply</t>
        </is>
      </c>
      <c r="G292" s="4" t="inlineStr">
        <is>
          <t>year inferred</t>
        </is>
      </c>
      <c r="H292" s="4" t="inlineStr">
        <is>
          <t>2026-10-21</t>
        </is>
      </c>
    </row>
    <row r="293">
      <c r="A293" s="4" t="inlineStr">
        <is>
          <t>University of Waterloo</t>
        </is>
      </c>
      <c r="B293" s="4" t="inlineStr">
        <is>
          <t>Application fee</t>
        </is>
      </c>
      <c r="C293" s="4" t="inlineStr">
        <is>
          <t>150 CAD</t>
        </is>
      </c>
      <c r="D293" s="4" t="inlineStr">
        <is>
          <t>CAD 150 per program, non-refundable</t>
        </is>
      </c>
      <c r="E293" s="4" t="inlineStr">
        <is>
          <t>pay the non-refundable application fee of $150 CAD per program via the link in your portal.</t>
        </is>
      </c>
      <c r="F293" s="4" t="inlineStr">
        <is>
          <t>https://uwaterloo.ca/future-graduate-students/admissions/how-to-apply</t>
        </is>
      </c>
      <c r="G293" s="4" t="inlineStr"/>
      <c r="H293" s="4" t="inlineStr">
        <is>
          <t>2026-10-21</t>
        </is>
      </c>
    </row>
    <row r="294">
      <c r="A294" s="4" t="inlineStr">
        <is>
          <t>University of Waterloo</t>
        </is>
      </c>
      <c r="B294" s="4" t="inlineStr">
        <is>
          <t>Intl fee waiver</t>
        </is>
      </c>
      <c r="C294" s="4" t="inlineStr">
        <is>
          <t>Not stated</t>
        </is>
      </c>
      <c r="D294" s="4" t="inlineStr">
        <is>
          <t>No fee-waiver route stated on the pages checked</t>
        </is>
      </c>
      <c r="E294" s="4" t="inlineStr">
        <is>
          <t>(no statement found)</t>
        </is>
      </c>
      <c r="F294" s="4" t="inlineStr">
        <is>
          <t>https://uwaterloo.ca/future-graduate-students/admissions/how-to-apply</t>
        </is>
      </c>
      <c r="G294" s="4" t="inlineStr"/>
      <c r="H294" s="4" t="inlineStr">
        <is>
          <t>2026-10-21</t>
        </is>
      </c>
    </row>
    <row r="295">
      <c r="A295" s="4" t="inlineStr">
        <is>
          <t>University of Waterloo</t>
        </is>
      </c>
      <c r="B295" s="4" t="inlineStr">
        <is>
          <t>GRE General</t>
        </is>
      </c>
      <c r="C295" s="4" t="inlineStr">
        <is>
          <t>Not stated</t>
        </is>
      </c>
      <c r="D295" s="4" t="inlineStr">
        <is>
          <t>The department page mentions only the Physics subject GRE</t>
        </is>
      </c>
      <c r="E295" s="4" t="inlineStr">
        <is>
          <t>(no statement found)</t>
        </is>
      </c>
      <c r="F295" s="4" t="inlineStr">
        <is>
          <t>https://uwaterloo.ca/physics-astronomy/graduate-studies/how-apply</t>
        </is>
      </c>
      <c r="G295" s="4" t="inlineStr"/>
      <c r="H295" s="4" t="inlineStr">
        <is>
          <t>2026-10-21</t>
        </is>
      </c>
    </row>
    <row r="296">
      <c r="A296" s="4" t="inlineStr">
        <is>
          <t>University of Waterloo</t>
        </is>
      </c>
      <c r="B296" s="4" t="inlineStr">
        <is>
          <t>Physics GRE</t>
        </is>
      </c>
      <c r="C296" s="4" t="inlineStr">
        <is>
          <t>Recommended</t>
        </is>
      </c>
      <c r="D296" s="4" t="inlineStr">
        <is>
          <t>Encouraged (not required) for applicants schooled outside Canada</t>
        </is>
      </c>
      <c r="E296" s="4" t="inlineStr">
        <is>
          <t>Students who did not complete their schooling in Canada are encouraged to submit a Physics subject GRE score, however it is not required for a successful application.</t>
        </is>
      </c>
      <c r="F296" s="4" t="inlineStr">
        <is>
          <t>https://uwaterloo.ca/physics-astronomy/graduate-studies/how-apply</t>
        </is>
      </c>
      <c r="G296" s="4" t="inlineStr"/>
      <c r="H296" s="4" t="inlineStr">
        <is>
          <t>2026-10-21</t>
        </is>
      </c>
    </row>
    <row r="297">
      <c r="A297" s="4" t="inlineStr">
        <is>
          <t>University of Waterloo</t>
        </is>
      </c>
      <c r="B297" s="4" t="inlineStr">
        <is>
          <t>TOEFL minimum</t>
        </is>
      </c>
      <c r="C297" s="4" t="inlineStr">
        <is>
          <t>90</t>
        </is>
      </c>
      <c r="D297" s="4" t="inlineStr">
        <is>
          <t>TOEFL 90 (writing 25, speaking 25); IELTS 7.0 (writing 6.5, speaking 6.5)</t>
        </is>
      </c>
      <c r="E297" s="4" t="inlineStr">
        <is>
          <t>TOEFL 90 (writing 25 speaking 25), IELTS 7.0 (writing 6.5, speaking 6.5)</t>
        </is>
      </c>
      <c r="F297" s="4" t="inlineStr">
        <is>
          <t>https://uwaterloo.ca/physics-astronomy/graduate-studies/phd-programs</t>
        </is>
      </c>
      <c r="G297" s="4" t="inlineStr"/>
      <c r="H297" s="4" t="inlineStr">
        <is>
          <t>2026-10-21</t>
        </is>
      </c>
    </row>
    <row r="298">
      <c r="A298" s="4" t="inlineStr">
        <is>
          <t>University of Waterloo</t>
        </is>
      </c>
      <c r="B298" s="4" t="inlineStr">
        <is>
          <t>English-test waiver (English-medium degree)</t>
        </is>
      </c>
      <c r="C298" s="4" t="inlineStr">
        <is>
          <t>Conditional</t>
        </is>
      </c>
      <c r="D298" s="4" t="inlineStr">
        <is>
          <t>Exempt only if 3+ years of study at a university listed in WHED with English as the ONLY language of instruction; exemption expires 2 years after graduation; medium-of-instruction letters are not accepted</t>
        </is>
      </c>
      <c r="E298" s="4" t="inlineStr">
        <is>
          <t>You have completed three or more years of post-secondary education, or completed a graduate degree at a university where English is listed as the only language of instruction on the International Association of Universities World Higher Education Database (WHED). | Letters from your university stating the medium of instruction is English do not satisfy Waterloo admission requirements.</t>
        </is>
      </c>
      <c r="F298" s="4" t="inlineStr">
        <is>
          <t>https://uwaterloo.ca/future-graduate-students/admissions/admission-and-english-language-proficiency-requirements</t>
        </is>
      </c>
      <c r="G298" s="4" t="inlineStr"/>
      <c r="H298" s="4" t="inlineStr">
        <is>
          <t>2026-10-21</t>
        </is>
      </c>
    </row>
    <row r="299">
      <c r="A299" s="4" t="inlineStr">
        <is>
          <t>University of Waterloo</t>
        </is>
      </c>
      <c r="B299" s="4" t="inlineStr">
        <is>
          <t>Supervisor before admission</t>
        </is>
      </c>
      <c r="C299" s="4" t="inlineStr">
        <is>
          <t>Required</t>
        </is>
      </c>
      <c r="D299" s="4" t="inlineStr">
        <is>
          <t>Admission requires a faculty member willing to supervise you; contact before or after applying and name supervisors on the application</t>
        </is>
      </c>
      <c r="E299" s="4" t="inlineStr">
        <is>
          <t>admission into a graduate program requires matching with a faculty member that is willing to serve as your supervisor.</t>
        </is>
      </c>
      <c r="F299" s="4" t="inlineStr">
        <is>
          <t>https://uwaterloo.ca/physics-astronomy/graduate-studies/how-apply</t>
        </is>
      </c>
      <c r="G299" s="4" t="inlineStr"/>
      <c r="H299" s="4" t="inlineStr">
        <is>
          <t>2026-10-21</t>
        </is>
      </c>
    </row>
    <row r="300">
      <c r="A300" s="4" t="inlineStr">
        <is>
          <t>University of Waterloo</t>
        </is>
      </c>
      <c r="B300" s="4" t="inlineStr">
        <is>
          <t>PhD funding</t>
        </is>
      </c>
      <c r="C300" s="4" t="inlineStr">
        <is>
          <t>Guaranteed</t>
        </is>
      </c>
      <c r="D300" s="4" t="inlineStr">
        <is>
          <t>Funding package for all graduate students within program time limits (GRS, TA, awards); TA two of three terms</t>
        </is>
      </c>
      <c r="E300" s="4" t="inlineStr">
        <is>
          <t>The Department of Physics &amp; Astronomy provides a nationally competitive funding package to all of our graduate students within their program time limits.</t>
        </is>
      </c>
      <c r="F300" s="4" t="inlineStr">
        <is>
          <t>https://uwaterloo.ca/physics-astronomy/graduate-studies/funding-and-tuition</t>
        </is>
      </c>
      <c r="G300" s="4" t="inlineStr"/>
      <c r="H300" s="4" t="inlineStr">
        <is>
          <t>2026-10-21</t>
        </is>
      </c>
    </row>
    <row r="301">
      <c r="A301" s="4" t="inlineStr">
        <is>
          <t>University of Waterloo</t>
        </is>
      </c>
      <c r="B301" s="4" t="inlineStr">
        <is>
          <t>Entry route</t>
        </is>
      </c>
      <c r="C301" s="4" t="inlineStr">
        <is>
          <t>Master's usually required</t>
        </is>
      </c>
      <c r="D301" s="4" t="inlineStr">
        <is>
          <t>PhD normally requires a master's in physics (75%+); MSc students can transfer to an accelerated PhD</t>
        </is>
      </c>
      <c r="E301" s="4" t="inlineStr">
        <is>
          <t>Normally a Master's degree in Physics, with at least a 75% standing.</t>
        </is>
      </c>
      <c r="F301" s="4" t="inlineStr">
        <is>
          <t>https://uwaterloo.ca/physics-astronomy/graduate-studies/phd-programs</t>
        </is>
      </c>
      <c r="G301" s="4" t="inlineStr"/>
      <c r="H301" s="4" t="inlineStr">
        <is>
          <t>2026-10-21</t>
        </is>
      </c>
    </row>
    <row r="302">
      <c r="A302" s="4" t="inlineStr">
        <is>
          <t>University of Wisconsin-Madison</t>
        </is>
      </c>
      <c r="B302" s="4" t="inlineStr">
        <is>
          <t>Deadline (Fall 2027)</t>
        </is>
      </c>
      <c r="C302" s="4" t="inlineStr">
        <is>
          <t>2026-12-15</t>
        </is>
      </c>
      <c r="D302" s="4" t="inlineStr">
        <is>
          <t>December 15, 2026 for Fall 2027 (all materials via the Graduate School application)</t>
        </is>
      </c>
      <c r="E302" s="4" t="inlineStr">
        <is>
          <t>Fall 2027 Physics PhD Application Deadline: December 15, 2026</t>
        </is>
      </c>
      <c r="F302" s="4" t="inlineStr">
        <is>
          <t>https://www.physics.wisc.edu/graduate/phd-program/</t>
        </is>
      </c>
      <c r="G302" s="4" t="inlineStr"/>
      <c r="H302" s="4" t="inlineStr">
        <is>
          <t>2026-10-21</t>
        </is>
      </c>
    </row>
    <row r="303">
      <c r="A303" s="4" t="inlineStr">
        <is>
          <t>University of Wisconsin-Madison</t>
        </is>
      </c>
      <c r="B303" s="4" t="inlineStr">
        <is>
          <t>Application fee</t>
        </is>
      </c>
      <c r="C303" s="4" t="inlineStr">
        <is>
          <t>Not stated</t>
        </is>
      </c>
      <c r="D303" s="4" t="inlineStr">
        <is>
          <t>Amount not shown on the pages checked; one fee covers up to 3 UW-Madison programs</t>
        </is>
      </c>
      <c r="E303" s="4" t="inlineStr">
        <is>
          <t>You can apply to 3 different graduate programs at UW-Madison for only one application fee.</t>
        </is>
      </c>
      <c r="F303" s="4" t="inlineStr">
        <is>
          <t>https://www.physics.wisc.edu/graduate/phd-program/</t>
        </is>
      </c>
      <c r="G303" s="4" t="inlineStr"/>
      <c r="H303" s="4" t="inlineStr">
        <is>
          <t>2026-10-21</t>
        </is>
      </c>
    </row>
    <row r="304">
      <c r="A304" s="4" t="inlineStr">
        <is>
          <t>University of Wisconsin-Madison</t>
        </is>
      </c>
      <c r="B304" s="4" t="inlineStr">
        <is>
          <t>Intl fee waiver</t>
        </is>
      </c>
      <c r="C304" s="4" t="inlineStr">
        <is>
          <t>Domestic only</t>
        </is>
      </c>
      <c r="D304" s="4" t="inlineStr">
        <is>
          <t>Department gives no waivers; Graduate School fee grants are for U.S. citizens and permanent residents only</t>
        </is>
      </c>
      <c r="E304" s="4" t="inlineStr">
        <is>
          <t>Fee grants are available to U.S. citizens and permanent residents who can document that they meet one of these eligibility criteria:  ||  The Department of Physics is not able to provide application fee waivers, but we encourage you to apply for a fee grant from the Graduate School if you qualify. (https://www.physics.wisc.edu/graduate/phd-program/)</t>
        </is>
      </c>
      <c r="F304" s="4" t="inlineStr">
        <is>
          <t>https://grad.wisc.edu/apply/fee-grant/</t>
        </is>
      </c>
      <c r="G304" s="4" t="inlineStr"/>
      <c r="H304" s="4" t="inlineStr">
        <is>
          <t>2026-10-21</t>
        </is>
      </c>
    </row>
    <row r="305">
      <c r="A305" s="4" t="inlineStr">
        <is>
          <t>University of Wisconsin-Madison</t>
        </is>
      </c>
      <c r="B305" s="4" t="inlineStr">
        <is>
          <t>GRE General</t>
        </is>
      </c>
      <c r="C305" s="4" t="inlineStr">
        <is>
          <t>Not considered</t>
        </is>
      </c>
      <c r="D305" s="4" t="inlineStr">
        <is>
          <t>General GRE is not considered even if submitted</t>
        </is>
      </c>
      <c r="E305" s="4" t="inlineStr">
        <is>
          <t>The general GRE will not be considered even if submitted.</t>
        </is>
      </c>
      <c r="F305" s="4" t="inlineStr">
        <is>
          <t>https://www.physics.wisc.edu/graduate/phd-program/</t>
        </is>
      </c>
      <c r="G305" s="4" t="inlineStr"/>
      <c r="H305" s="4" t="inlineStr">
        <is>
          <t>2026-10-21</t>
        </is>
      </c>
    </row>
    <row r="306">
      <c r="A306" s="4" t="inlineStr">
        <is>
          <t>University of Wisconsin-Madison</t>
        </is>
      </c>
      <c r="B306" s="4" t="inlineStr">
        <is>
          <t>Physics GRE</t>
        </is>
      </c>
      <c r="C306" s="4" t="inlineStr">
        <is>
          <t>Optional</t>
        </is>
      </c>
      <c r="D306" s="4" t="inlineStr">
        <is>
          <t>Not required; reviewed if sent; recommended if your transcript understates you, it would significantly help, or you aim for theory</t>
        </is>
      </c>
      <c r="E306" s="4" t="inlineStr">
        <is>
          <t>The Department of Physics does not require the subject GRE for admission. | The subject GRE is recommended in these circumstances: Your transcript does not accurately reflect your academic strengths If including the score would significantly strengthen your application You are particularly interested in pursuing Physics Theory as a research focus</t>
        </is>
      </c>
      <c r="F306" s="4" t="inlineStr">
        <is>
          <t>https://www.physics.wisc.edu/graduate/phd-program/</t>
        </is>
      </c>
      <c r="G306" s="4" t="inlineStr"/>
      <c r="H306" s="4" t="inlineStr">
        <is>
          <t>2026-10-21</t>
        </is>
      </c>
    </row>
    <row r="307">
      <c r="A307" s="4" t="inlineStr">
        <is>
          <t>University of Wisconsin-Madison</t>
        </is>
      </c>
      <c r="B307" s="4" t="inlineStr">
        <is>
          <t>TOEFL minimum</t>
        </is>
      </c>
      <c r="C307" s="4" t="inlineStr">
        <is>
          <t>92</t>
        </is>
      </c>
      <c r="D307" s="4" t="inlineStr">
        <is>
          <t>TOEFL 92 (before Jan 21, 2026) or 5.0 (new scale); IELTS, IELTS Indicator, Duolingo also accepted</t>
        </is>
      </c>
      <c r="E307" s="4" t="inlineStr">
        <is>
          <t>Minimum TOEFL requirement:92 for tests taken before January 21, 2026 | Minimum TOEFL requirement:5.0 for tests taken on and after January 21, 2026</t>
        </is>
      </c>
      <c r="F307" s="4" t="inlineStr">
        <is>
          <t>https://info.grad.wisc.edu/requirements-for-admission</t>
        </is>
      </c>
      <c r="G307" s="4" t="inlineStr"/>
      <c r="H307" s="4" t="inlineStr">
        <is>
          <t>2026-10-21</t>
        </is>
      </c>
    </row>
    <row r="308">
      <c r="A308" s="4" t="inlineStr">
        <is>
          <t>University of Wisconsin-Madison</t>
        </is>
      </c>
      <c r="B308" s="4" t="inlineStr">
        <is>
          <t>English-test waiver (English-medium degree)</t>
        </is>
      </c>
      <c r="C308" s="4" t="inlineStr">
        <is>
          <t>Check tool</t>
        </is>
      </c>
      <c r="D308" s="4" t="inlineStr">
        <is>
          <t>Graduate School decides via a country-selector tool; result for India not shown in static page text</t>
        </is>
      </c>
      <c r="E308" s="4" t="inlineStr">
        <is>
          <t>Select your country:</t>
        </is>
      </c>
      <c r="F308" s="4" t="inlineStr">
        <is>
          <t>https://info.grad.wisc.edu/requirements-for-admission</t>
        </is>
      </c>
      <c r="G308" s="4" t="inlineStr"/>
      <c r="H308" s="4" t="inlineStr">
        <is>
          <t>2026-10-21</t>
        </is>
      </c>
    </row>
    <row r="309">
      <c r="A309" s="4" t="inlineStr">
        <is>
          <t>University of Wisconsin-Madison</t>
        </is>
      </c>
      <c r="B309" s="4" t="inlineStr">
        <is>
          <t>Supervisor before admission</t>
        </is>
      </c>
      <c r="C309" s="4" t="inlineStr">
        <is>
          <t>Not required</t>
        </is>
      </c>
      <c r="D309" s="4" t="inlineStr">
        <is>
          <t>Advisor chosen after entry; early selection encouraged; any physics faculty or affiliate</t>
        </is>
      </c>
      <c r="E309" s="4" t="inlineStr">
        <is>
          <t>An early start in selecting a research area and a doctoral advisor is encouraged and expected; students in the Physics PhD program may select any physics faculty member or affiliate member.</t>
        </is>
      </c>
      <c r="F309" s="4" t="inlineStr">
        <is>
          <t>https://www.physics.wisc.edu/graduate/phd-program/</t>
        </is>
      </c>
      <c r="G309" s="4" t="inlineStr"/>
      <c r="H309" s="4" t="inlineStr">
        <is>
          <t>2026-10-21</t>
        </is>
      </c>
    </row>
    <row r="310">
      <c r="A310" s="4" t="inlineStr">
        <is>
          <t>University of Wisconsin-Madison</t>
        </is>
      </c>
      <c r="B310" s="4" t="inlineStr">
        <is>
          <t>PhD funding</t>
        </is>
      </c>
      <c r="C310" s="4" t="inlineStr">
        <is>
          <t>Guaranteed</t>
        </is>
      </c>
      <c r="D310" s="4" t="inlineStr">
        <is>
          <t>Five years of financial support guaranteed for admitted PhD students</t>
        </is>
      </c>
      <c r="E310" s="4" t="inlineStr">
        <is>
          <t>All admitted PhD students are provided with a guarantee of five years of financial support.</t>
        </is>
      </c>
      <c r="F310" s="4" t="inlineStr">
        <is>
          <t>https://www.physics.wisc.edu/graduate/phd-program/</t>
        </is>
      </c>
      <c r="G310" s="4" t="inlineStr"/>
      <c r="H310" s="4" t="inlineStr">
        <is>
          <t>2026-10-21</t>
        </is>
      </c>
    </row>
    <row r="311">
      <c r="A311" s="4" t="inlineStr">
        <is>
          <t>University of Wisconsin-Madison</t>
        </is>
      </c>
      <c r="B311" s="4" t="inlineStr">
        <is>
          <t>Entry route</t>
        </is>
      </c>
      <c r="C311" s="4" t="inlineStr">
        <is>
          <t>Direct from bachelor's</t>
        </is>
      </c>
      <c r="D311" s="4" t="inlineStr">
        <is>
          <t>Applicants need a bachelor's meeting Graduate School requirements</t>
        </is>
      </c>
      <c r="E311" s="4" t="inlineStr">
        <is>
          <t>Applicants must satisfy the Graduate School requirements for undergraduate grade-point average, bachelor’s degree, and English proficiency</t>
        </is>
      </c>
      <c r="F311" s="4" t="inlineStr">
        <is>
          <t>https://www.physics.wisc.edu/graduate/phd-program/</t>
        </is>
      </c>
      <c r="G311" s="4" t="inlineStr"/>
      <c r="H311" s="4" t="inlineStr">
        <is>
          <t>2026-10-21</t>
        </is>
      </c>
    </row>
  </sheetData>
  <autoFilter ref="A1:H3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2026-10-21T06:28:32Z</dcterms:created>
  <dcterms:modified xmlns:dcterms="http://purl.org/dc/terms/" xmlns:xsi="http://www.w3.org/2001/XMLSchema-instance" xsi:type="dcterms:W3CDTF">2026-10-21T06:28:32Z</dcterms:modified>
</cp:coreProperties>
</file>